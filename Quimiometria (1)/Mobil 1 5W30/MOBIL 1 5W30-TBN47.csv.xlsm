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docProps/core.xml" ContentType="application/vnd.openxmlformats-package.core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xl/externalLinks/externalLink1.xml" ContentType="application/vnd.openxmlformats-officedocument.spreadsheetml.externalLink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eblanc\Desktop\"/>
    </mc:Choice>
  </mc:AlternateContent>
  <bookViews>
    <workbookView xWindow="0" yWindow="0" windowWidth="28800" windowHeight="12435" firstSheet="1" activeTab="4"/>
  </bookViews>
  <sheets>
    <sheet name="Bin Info" sheetId="3" state="hidden" r:id="rId1"/>
    <sheet name="Histogram" sheetId="4" r:id="rId2"/>
    <sheet name="Validation Data" sheetId="8" r:id="rId3"/>
    <sheet name="Calibration Data" sheetId="7" r:id="rId4"/>
    <sheet name="Calibration Set" sheetId="6" r:id="rId5"/>
    <sheet name="Raw Data" sheetId="1" r:id="rId6"/>
  </sheets>
  <externalReferences>
    <externalReference r:id="rId7"/>
  </externalReferences>
  <definedNames>
    <definedName name="_xlnm._FilterDatabase" localSheetId="5" hidden="1">'Raw Data'!$A$1:$N$1155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55" i="1" l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L999" i="1"/>
  <c r="M998" i="1"/>
  <c r="L998" i="1"/>
  <c r="M997" i="1"/>
  <c r="L997" i="1"/>
  <c r="M996" i="1"/>
  <c r="L996" i="1"/>
  <c r="M995" i="1"/>
  <c r="L995" i="1"/>
  <c r="M994" i="1"/>
  <c r="L994" i="1"/>
  <c r="M993" i="1"/>
  <c r="L993" i="1"/>
  <c r="M992" i="1"/>
  <c r="L992" i="1"/>
  <c r="M991" i="1"/>
  <c r="L991" i="1"/>
  <c r="M990" i="1"/>
  <c r="L990" i="1"/>
  <c r="M989" i="1"/>
  <c r="L989" i="1"/>
  <c r="M988" i="1"/>
  <c r="L988" i="1"/>
  <c r="M987" i="1"/>
  <c r="L987" i="1"/>
  <c r="M986" i="1"/>
  <c r="L986" i="1"/>
  <c r="M985" i="1"/>
  <c r="L985" i="1"/>
  <c r="M984" i="1"/>
  <c r="L984" i="1"/>
  <c r="M983" i="1"/>
  <c r="L983" i="1"/>
  <c r="M982" i="1"/>
  <c r="L982" i="1"/>
  <c r="M981" i="1"/>
  <c r="L981" i="1"/>
  <c r="M980" i="1"/>
  <c r="L980" i="1"/>
  <c r="M979" i="1"/>
  <c r="L979" i="1"/>
  <c r="M978" i="1"/>
  <c r="L978" i="1"/>
  <c r="M977" i="1"/>
  <c r="L977" i="1"/>
  <c r="M976" i="1"/>
  <c r="L976" i="1"/>
  <c r="M975" i="1"/>
  <c r="L975" i="1"/>
  <c r="M974" i="1"/>
  <c r="L974" i="1"/>
  <c r="M973" i="1"/>
  <c r="L973" i="1"/>
  <c r="M972" i="1"/>
  <c r="L972" i="1"/>
  <c r="M971" i="1"/>
  <c r="L971" i="1"/>
  <c r="M970" i="1"/>
  <c r="L970" i="1"/>
  <c r="M969" i="1"/>
  <c r="L969" i="1"/>
  <c r="M968" i="1"/>
  <c r="L968" i="1"/>
  <c r="M967" i="1"/>
  <c r="L967" i="1"/>
  <c r="M966" i="1"/>
  <c r="L966" i="1"/>
  <c r="M965" i="1"/>
  <c r="L965" i="1"/>
  <c r="M964" i="1"/>
  <c r="L964" i="1"/>
  <c r="M963" i="1"/>
  <c r="L963" i="1"/>
  <c r="M962" i="1"/>
  <c r="L962" i="1"/>
  <c r="M961" i="1"/>
  <c r="L961" i="1"/>
  <c r="M960" i="1"/>
  <c r="L960" i="1"/>
  <c r="M959" i="1"/>
  <c r="L959" i="1"/>
  <c r="M958" i="1"/>
  <c r="L958" i="1"/>
  <c r="M957" i="1"/>
  <c r="L957" i="1"/>
  <c r="M956" i="1"/>
  <c r="L956" i="1"/>
  <c r="M955" i="1"/>
  <c r="L955" i="1"/>
  <c r="M954" i="1"/>
  <c r="L954" i="1"/>
  <c r="M953" i="1"/>
  <c r="L953" i="1"/>
  <c r="M952" i="1"/>
  <c r="L952" i="1"/>
  <c r="M951" i="1"/>
  <c r="L951" i="1"/>
  <c r="M950" i="1"/>
  <c r="L950" i="1"/>
  <c r="M949" i="1"/>
  <c r="L949" i="1"/>
  <c r="M948" i="1"/>
  <c r="L948" i="1"/>
  <c r="M947" i="1"/>
  <c r="L947" i="1"/>
  <c r="M946" i="1"/>
  <c r="L946" i="1"/>
  <c r="M945" i="1"/>
  <c r="L945" i="1"/>
  <c r="M944" i="1"/>
  <c r="L944" i="1"/>
  <c r="M943" i="1"/>
  <c r="L943" i="1"/>
  <c r="M942" i="1"/>
  <c r="L942" i="1"/>
  <c r="M941" i="1"/>
  <c r="L941" i="1"/>
  <c r="M940" i="1"/>
  <c r="L940" i="1"/>
  <c r="M939" i="1"/>
  <c r="L939" i="1"/>
  <c r="M938" i="1"/>
  <c r="L938" i="1"/>
  <c r="M937" i="1"/>
  <c r="L937" i="1"/>
  <c r="M936" i="1"/>
  <c r="L936" i="1"/>
  <c r="M935" i="1"/>
  <c r="L935" i="1"/>
  <c r="M934" i="1"/>
  <c r="L934" i="1"/>
  <c r="M933" i="1"/>
  <c r="L933" i="1"/>
  <c r="M932" i="1"/>
  <c r="L932" i="1"/>
  <c r="M931" i="1"/>
  <c r="L931" i="1"/>
  <c r="M930" i="1"/>
  <c r="L930" i="1"/>
  <c r="M929" i="1"/>
  <c r="L929" i="1"/>
  <c r="M928" i="1"/>
  <c r="L928" i="1"/>
  <c r="M927" i="1"/>
  <c r="L927" i="1"/>
  <c r="M926" i="1"/>
  <c r="L926" i="1"/>
  <c r="M925" i="1"/>
  <c r="L925" i="1"/>
  <c r="M924" i="1"/>
  <c r="L924" i="1"/>
  <c r="M923" i="1"/>
  <c r="L923" i="1"/>
  <c r="M922" i="1"/>
  <c r="L922" i="1"/>
  <c r="M921" i="1"/>
  <c r="L921" i="1"/>
  <c r="M920" i="1"/>
  <c r="L920" i="1"/>
  <c r="M919" i="1"/>
  <c r="L919" i="1"/>
  <c r="M918" i="1"/>
  <c r="L918" i="1"/>
  <c r="M917" i="1"/>
  <c r="L917" i="1"/>
  <c r="M916" i="1"/>
  <c r="L916" i="1"/>
  <c r="M915" i="1"/>
  <c r="L915" i="1"/>
  <c r="M914" i="1"/>
  <c r="L914" i="1"/>
  <c r="M913" i="1"/>
  <c r="L913" i="1"/>
  <c r="M912" i="1"/>
  <c r="L912" i="1"/>
  <c r="M911" i="1"/>
  <c r="L911" i="1"/>
  <c r="M910" i="1"/>
  <c r="L910" i="1"/>
  <c r="M909" i="1"/>
  <c r="L909" i="1"/>
  <c r="M908" i="1"/>
  <c r="L908" i="1"/>
  <c r="M907" i="1"/>
  <c r="L907" i="1"/>
  <c r="M906" i="1"/>
  <c r="L906" i="1"/>
  <c r="M905" i="1"/>
  <c r="L905" i="1"/>
  <c r="M904" i="1"/>
  <c r="L904" i="1"/>
  <c r="M903" i="1"/>
  <c r="L903" i="1"/>
  <c r="M902" i="1"/>
  <c r="L902" i="1"/>
  <c r="M901" i="1"/>
  <c r="L901" i="1"/>
  <c r="M900" i="1"/>
  <c r="L900" i="1"/>
  <c r="M899" i="1"/>
  <c r="L899" i="1"/>
  <c r="M898" i="1"/>
  <c r="L898" i="1"/>
  <c r="M897" i="1"/>
  <c r="L897" i="1"/>
  <c r="M896" i="1"/>
  <c r="L896" i="1"/>
  <c r="M895" i="1"/>
  <c r="L895" i="1"/>
  <c r="M894" i="1"/>
  <c r="L894" i="1"/>
  <c r="M893" i="1"/>
  <c r="L893" i="1"/>
  <c r="M892" i="1"/>
  <c r="L892" i="1"/>
  <c r="M891" i="1"/>
  <c r="L891" i="1"/>
  <c r="M890" i="1"/>
  <c r="L890" i="1"/>
  <c r="M889" i="1"/>
  <c r="L889" i="1"/>
  <c r="M888" i="1"/>
  <c r="L888" i="1"/>
  <c r="M887" i="1"/>
  <c r="L887" i="1"/>
  <c r="M886" i="1"/>
  <c r="L886" i="1"/>
  <c r="M885" i="1"/>
  <c r="L885" i="1"/>
  <c r="M884" i="1"/>
  <c r="L884" i="1"/>
  <c r="M883" i="1"/>
  <c r="L883" i="1"/>
  <c r="M882" i="1"/>
  <c r="L882" i="1"/>
  <c r="M881" i="1"/>
  <c r="L881" i="1"/>
  <c r="M880" i="1"/>
  <c r="L880" i="1"/>
  <c r="M879" i="1"/>
  <c r="L879" i="1"/>
  <c r="M878" i="1"/>
  <c r="L878" i="1"/>
  <c r="M877" i="1"/>
  <c r="L877" i="1"/>
  <c r="M876" i="1"/>
  <c r="L876" i="1"/>
  <c r="M875" i="1"/>
  <c r="L875" i="1"/>
  <c r="M874" i="1"/>
  <c r="L874" i="1"/>
  <c r="M873" i="1"/>
  <c r="L873" i="1"/>
  <c r="M872" i="1"/>
  <c r="L872" i="1"/>
  <c r="M871" i="1"/>
  <c r="L871" i="1"/>
  <c r="M870" i="1"/>
  <c r="L870" i="1"/>
  <c r="M869" i="1"/>
  <c r="L869" i="1"/>
  <c r="M868" i="1"/>
  <c r="L868" i="1"/>
  <c r="M867" i="1"/>
  <c r="L867" i="1"/>
  <c r="M866" i="1"/>
  <c r="L866" i="1"/>
  <c r="M865" i="1"/>
  <c r="L865" i="1"/>
  <c r="M864" i="1"/>
  <c r="L864" i="1"/>
  <c r="M863" i="1"/>
  <c r="L863" i="1"/>
  <c r="M862" i="1"/>
  <c r="L862" i="1"/>
  <c r="M861" i="1"/>
  <c r="L861" i="1"/>
  <c r="M860" i="1"/>
  <c r="L860" i="1"/>
  <c r="M859" i="1"/>
  <c r="L859" i="1"/>
  <c r="M858" i="1"/>
  <c r="L858" i="1"/>
  <c r="M857" i="1"/>
  <c r="L857" i="1"/>
  <c r="M856" i="1"/>
  <c r="L856" i="1"/>
  <c r="M855" i="1"/>
  <c r="L855" i="1"/>
  <c r="M854" i="1"/>
  <c r="L854" i="1"/>
  <c r="M853" i="1"/>
  <c r="L853" i="1"/>
  <c r="M852" i="1"/>
  <c r="L852" i="1"/>
  <c r="M851" i="1"/>
  <c r="L851" i="1"/>
  <c r="M850" i="1"/>
  <c r="L850" i="1"/>
  <c r="M849" i="1"/>
  <c r="L849" i="1"/>
  <c r="M848" i="1"/>
  <c r="L848" i="1"/>
  <c r="M847" i="1"/>
  <c r="L847" i="1"/>
  <c r="M846" i="1"/>
  <c r="L846" i="1"/>
  <c r="M845" i="1"/>
  <c r="L845" i="1"/>
  <c r="M844" i="1"/>
  <c r="L844" i="1"/>
  <c r="M843" i="1"/>
  <c r="L843" i="1"/>
  <c r="M842" i="1"/>
  <c r="L842" i="1"/>
  <c r="M841" i="1"/>
  <c r="L841" i="1"/>
  <c r="M840" i="1"/>
  <c r="L840" i="1"/>
  <c r="M839" i="1"/>
  <c r="L839" i="1"/>
  <c r="M838" i="1"/>
  <c r="L838" i="1"/>
  <c r="M837" i="1"/>
  <c r="L837" i="1"/>
  <c r="M836" i="1"/>
  <c r="L836" i="1"/>
  <c r="M835" i="1"/>
  <c r="L835" i="1"/>
  <c r="M834" i="1"/>
  <c r="L834" i="1"/>
  <c r="M833" i="1"/>
  <c r="L833" i="1"/>
  <c r="M832" i="1"/>
  <c r="L832" i="1"/>
  <c r="M831" i="1"/>
  <c r="L831" i="1"/>
  <c r="M830" i="1"/>
  <c r="L830" i="1"/>
  <c r="M829" i="1"/>
  <c r="L829" i="1"/>
  <c r="M828" i="1"/>
  <c r="L828" i="1"/>
  <c r="M827" i="1"/>
  <c r="L827" i="1"/>
  <c r="M826" i="1"/>
  <c r="L826" i="1"/>
  <c r="M825" i="1"/>
  <c r="L825" i="1"/>
  <c r="M824" i="1"/>
  <c r="L824" i="1"/>
  <c r="M823" i="1"/>
  <c r="L823" i="1"/>
  <c r="M822" i="1"/>
  <c r="L822" i="1"/>
  <c r="M821" i="1"/>
  <c r="L821" i="1"/>
  <c r="M820" i="1"/>
  <c r="L820" i="1"/>
  <c r="M819" i="1"/>
  <c r="L819" i="1"/>
  <c r="M818" i="1"/>
  <c r="L818" i="1"/>
  <c r="M817" i="1"/>
  <c r="L817" i="1"/>
  <c r="M816" i="1"/>
  <c r="L816" i="1"/>
  <c r="M815" i="1"/>
  <c r="L815" i="1"/>
  <c r="M814" i="1"/>
  <c r="L814" i="1"/>
  <c r="M813" i="1"/>
  <c r="L813" i="1"/>
  <c r="M812" i="1"/>
  <c r="L812" i="1"/>
  <c r="M811" i="1"/>
  <c r="L811" i="1"/>
  <c r="M810" i="1"/>
  <c r="L810" i="1"/>
  <c r="M809" i="1"/>
  <c r="L809" i="1"/>
  <c r="M808" i="1"/>
  <c r="L808" i="1"/>
  <c r="M807" i="1"/>
  <c r="L807" i="1"/>
  <c r="M806" i="1"/>
  <c r="L806" i="1"/>
  <c r="M805" i="1"/>
  <c r="L805" i="1"/>
  <c r="M804" i="1"/>
  <c r="L804" i="1"/>
  <c r="M803" i="1"/>
  <c r="L803" i="1"/>
  <c r="M802" i="1"/>
  <c r="L802" i="1"/>
  <c r="M801" i="1"/>
  <c r="L801" i="1"/>
  <c r="M800" i="1"/>
  <c r="L800" i="1"/>
  <c r="M799" i="1"/>
  <c r="L799" i="1"/>
  <c r="M798" i="1"/>
  <c r="L798" i="1"/>
  <c r="M797" i="1"/>
  <c r="L797" i="1"/>
  <c r="M796" i="1"/>
  <c r="L796" i="1"/>
  <c r="M795" i="1"/>
  <c r="L795" i="1"/>
  <c r="M794" i="1"/>
  <c r="L794" i="1"/>
  <c r="M793" i="1"/>
  <c r="L793" i="1"/>
  <c r="M792" i="1"/>
  <c r="L792" i="1"/>
  <c r="M791" i="1"/>
  <c r="L791" i="1"/>
  <c r="M790" i="1"/>
  <c r="L790" i="1"/>
  <c r="M789" i="1"/>
  <c r="L789" i="1"/>
  <c r="M788" i="1"/>
  <c r="L788" i="1"/>
  <c r="M787" i="1"/>
  <c r="L787" i="1"/>
  <c r="M786" i="1"/>
  <c r="L786" i="1"/>
  <c r="M785" i="1"/>
  <c r="L785" i="1"/>
  <c r="M784" i="1"/>
  <c r="L784" i="1"/>
  <c r="M783" i="1"/>
  <c r="L783" i="1"/>
  <c r="M782" i="1"/>
  <c r="L782" i="1"/>
  <c r="M781" i="1"/>
  <c r="L781" i="1"/>
  <c r="M780" i="1"/>
  <c r="L780" i="1"/>
  <c r="M779" i="1"/>
  <c r="L779" i="1"/>
  <c r="M778" i="1"/>
  <c r="L778" i="1"/>
  <c r="M777" i="1"/>
  <c r="L777" i="1"/>
  <c r="M776" i="1"/>
  <c r="L776" i="1"/>
  <c r="M775" i="1"/>
  <c r="L775" i="1"/>
  <c r="M774" i="1"/>
  <c r="L774" i="1"/>
  <c r="M773" i="1"/>
  <c r="L773" i="1"/>
  <c r="M772" i="1"/>
  <c r="L772" i="1"/>
  <c r="M771" i="1"/>
  <c r="L771" i="1"/>
  <c r="M770" i="1"/>
  <c r="L770" i="1"/>
  <c r="M769" i="1"/>
  <c r="L769" i="1"/>
  <c r="M768" i="1"/>
  <c r="L768" i="1"/>
  <c r="M767" i="1"/>
  <c r="L767" i="1"/>
  <c r="M766" i="1"/>
  <c r="L766" i="1"/>
  <c r="M765" i="1"/>
  <c r="L765" i="1"/>
  <c r="M764" i="1"/>
  <c r="L764" i="1"/>
  <c r="M763" i="1"/>
  <c r="L763" i="1"/>
  <c r="M762" i="1"/>
  <c r="L762" i="1"/>
  <c r="M761" i="1"/>
  <c r="L761" i="1"/>
  <c r="M760" i="1"/>
  <c r="L760" i="1"/>
  <c r="M759" i="1"/>
  <c r="L759" i="1"/>
  <c r="M758" i="1"/>
  <c r="L758" i="1"/>
  <c r="M757" i="1"/>
  <c r="L757" i="1"/>
  <c r="M756" i="1"/>
  <c r="L756" i="1"/>
  <c r="M755" i="1"/>
  <c r="L755" i="1"/>
  <c r="M754" i="1"/>
  <c r="L754" i="1"/>
  <c r="M753" i="1"/>
  <c r="L753" i="1"/>
  <c r="M752" i="1"/>
  <c r="L752" i="1"/>
  <c r="M751" i="1"/>
  <c r="L751" i="1"/>
  <c r="M750" i="1"/>
  <c r="L750" i="1"/>
  <c r="M749" i="1"/>
  <c r="L749" i="1"/>
  <c r="M748" i="1"/>
  <c r="L748" i="1"/>
  <c r="M747" i="1"/>
  <c r="L747" i="1"/>
  <c r="M746" i="1"/>
  <c r="L746" i="1"/>
  <c r="M745" i="1"/>
  <c r="L745" i="1"/>
  <c r="M744" i="1"/>
  <c r="L744" i="1"/>
  <c r="M743" i="1"/>
  <c r="L743" i="1"/>
  <c r="M742" i="1"/>
  <c r="L742" i="1"/>
  <c r="M741" i="1"/>
  <c r="L741" i="1"/>
  <c r="M740" i="1"/>
  <c r="L740" i="1"/>
  <c r="M739" i="1"/>
  <c r="L739" i="1"/>
  <c r="M738" i="1"/>
  <c r="L738" i="1"/>
  <c r="M737" i="1"/>
  <c r="L737" i="1"/>
  <c r="M736" i="1"/>
  <c r="L736" i="1"/>
  <c r="M735" i="1"/>
  <c r="L735" i="1"/>
  <c r="M734" i="1"/>
  <c r="L734" i="1"/>
  <c r="M733" i="1"/>
  <c r="L733" i="1"/>
  <c r="M732" i="1"/>
  <c r="L732" i="1"/>
  <c r="M731" i="1"/>
  <c r="L731" i="1"/>
  <c r="M730" i="1"/>
  <c r="L730" i="1"/>
  <c r="M729" i="1"/>
  <c r="L729" i="1"/>
  <c r="M728" i="1"/>
  <c r="L728" i="1"/>
  <c r="M727" i="1"/>
  <c r="L727" i="1"/>
  <c r="M726" i="1"/>
  <c r="L726" i="1"/>
  <c r="M725" i="1"/>
  <c r="L725" i="1"/>
  <c r="M724" i="1"/>
  <c r="L724" i="1"/>
  <c r="M723" i="1"/>
  <c r="L723" i="1"/>
  <c r="M722" i="1"/>
  <c r="L722" i="1"/>
  <c r="M721" i="1"/>
  <c r="L721" i="1"/>
  <c r="M720" i="1"/>
  <c r="L720" i="1"/>
  <c r="M719" i="1"/>
  <c r="L719" i="1"/>
  <c r="M718" i="1"/>
  <c r="L718" i="1"/>
  <c r="M717" i="1"/>
  <c r="L717" i="1"/>
  <c r="M716" i="1"/>
  <c r="L716" i="1"/>
  <c r="M715" i="1"/>
  <c r="L715" i="1"/>
  <c r="M714" i="1"/>
  <c r="L714" i="1"/>
  <c r="M713" i="1"/>
  <c r="L713" i="1"/>
  <c r="M712" i="1"/>
  <c r="L712" i="1"/>
  <c r="M711" i="1"/>
  <c r="L711" i="1"/>
  <c r="M710" i="1"/>
  <c r="L710" i="1"/>
  <c r="M709" i="1"/>
  <c r="L709" i="1"/>
  <c r="M708" i="1"/>
  <c r="L708" i="1"/>
  <c r="M707" i="1"/>
  <c r="L707" i="1"/>
  <c r="M706" i="1"/>
  <c r="L706" i="1"/>
  <c r="M705" i="1"/>
  <c r="L705" i="1"/>
  <c r="M704" i="1"/>
  <c r="L704" i="1"/>
  <c r="M703" i="1"/>
  <c r="L703" i="1"/>
  <c r="M702" i="1"/>
  <c r="L702" i="1"/>
  <c r="M701" i="1"/>
  <c r="L701" i="1"/>
  <c r="M700" i="1"/>
  <c r="L700" i="1"/>
  <c r="M699" i="1"/>
  <c r="L699" i="1"/>
  <c r="M698" i="1"/>
  <c r="L698" i="1"/>
  <c r="M697" i="1"/>
  <c r="L697" i="1"/>
  <c r="M696" i="1"/>
  <c r="L696" i="1"/>
  <c r="M695" i="1"/>
  <c r="L695" i="1"/>
  <c r="M694" i="1"/>
  <c r="L694" i="1"/>
  <c r="M693" i="1"/>
  <c r="L693" i="1"/>
  <c r="M692" i="1"/>
  <c r="L692" i="1"/>
  <c r="M691" i="1"/>
  <c r="L691" i="1"/>
  <c r="M690" i="1"/>
  <c r="L690" i="1"/>
  <c r="M689" i="1"/>
  <c r="L689" i="1"/>
  <c r="M688" i="1"/>
  <c r="L688" i="1"/>
  <c r="M687" i="1"/>
  <c r="L687" i="1"/>
  <c r="M686" i="1"/>
  <c r="L686" i="1"/>
  <c r="M685" i="1"/>
  <c r="L685" i="1"/>
  <c r="M684" i="1"/>
  <c r="L684" i="1"/>
  <c r="M683" i="1"/>
  <c r="L683" i="1"/>
  <c r="M682" i="1"/>
  <c r="L682" i="1"/>
  <c r="M681" i="1"/>
  <c r="L681" i="1"/>
  <c r="M680" i="1"/>
  <c r="L680" i="1"/>
  <c r="M679" i="1"/>
  <c r="L679" i="1"/>
  <c r="M678" i="1"/>
  <c r="L678" i="1"/>
  <c r="M677" i="1"/>
  <c r="L677" i="1"/>
  <c r="M676" i="1"/>
  <c r="L676" i="1"/>
  <c r="M675" i="1"/>
  <c r="L675" i="1"/>
  <c r="M674" i="1"/>
  <c r="L674" i="1"/>
  <c r="M673" i="1"/>
  <c r="L673" i="1"/>
  <c r="M672" i="1"/>
  <c r="L672" i="1"/>
  <c r="M671" i="1"/>
  <c r="L671" i="1"/>
  <c r="M670" i="1"/>
  <c r="L670" i="1"/>
  <c r="M669" i="1"/>
  <c r="L669" i="1"/>
  <c r="M668" i="1"/>
  <c r="L668" i="1"/>
  <c r="M667" i="1"/>
  <c r="L667" i="1"/>
  <c r="M666" i="1"/>
  <c r="L666" i="1"/>
  <c r="M665" i="1"/>
  <c r="L665" i="1"/>
  <c r="M664" i="1"/>
  <c r="L664" i="1"/>
  <c r="M663" i="1"/>
  <c r="L663" i="1"/>
  <c r="M662" i="1"/>
  <c r="L662" i="1"/>
  <c r="M661" i="1"/>
  <c r="L661" i="1"/>
  <c r="M660" i="1"/>
  <c r="L660" i="1"/>
  <c r="M659" i="1"/>
  <c r="L659" i="1"/>
  <c r="M658" i="1"/>
  <c r="L658" i="1"/>
  <c r="M657" i="1"/>
  <c r="L657" i="1"/>
  <c r="M656" i="1"/>
  <c r="L656" i="1"/>
  <c r="M655" i="1"/>
  <c r="L655" i="1"/>
  <c r="M654" i="1"/>
  <c r="L654" i="1"/>
  <c r="M653" i="1"/>
  <c r="L653" i="1"/>
  <c r="M652" i="1"/>
  <c r="L652" i="1"/>
  <c r="M651" i="1"/>
  <c r="L651" i="1"/>
  <c r="M650" i="1"/>
  <c r="L650" i="1"/>
  <c r="M649" i="1"/>
  <c r="L649" i="1"/>
  <c r="M648" i="1"/>
  <c r="L648" i="1"/>
  <c r="M647" i="1"/>
  <c r="L647" i="1"/>
  <c r="M646" i="1"/>
  <c r="L646" i="1"/>
  <c r="M645" i="1"/>
  <c r="L645" i="1"/>
  <c r="M644" i="1"/>
  <c r="L644" i="1"/>
  <c r="M643" i="1"/>
  <c r="L643" i="1"/>
  <c r="M642" i="1"/>
  <c r="L642" i="1"/>
  <c r="M641" i="1"/>
  <c r="L641" i="1"/>
  <c r="M640" i="1"/>
  <c r="L640" i="1"/>
  <c r="M639" i="1"/>
  <c r="L639" i="1"/>
  <c r="M638" i="1"/>
  <c r="L638" i="1"/>
  <c r="M637" i="1"/>
  <c r="L637" i="1"/>
  <c r="M636" i="1"/>
  <c r="L636" i="1"/>
  <c r="M635" i="1"/>
  <c r="L635" i="1"/>
  <c r="M634" i="1"/>
  <c r="L634" i="1"/>
  <c r="M633" i="1"/>
  <c r="L633" i="1"/>
  <c r="M632" i="1"/>
  <c r="L632" i="1"/>
  <c r="M631" i="1"/>
  <c r="L631" i="1"/>
  <c r="M630" i="1"/>
  <c r="L630" i="1"/>
  <c r="M629" i="1"/>
  <c r="L629" i="1"/>
  <c r="M628" i="1"/>
  <c r="L628" i="1"/>
  <c r="M627" i="1"/>
  <c r="L627" i="1"/>
  <c r="M626" i="1"/>
  <c r="L626" i="1"/>
  <c r="M625" i="1"/>
  <c r="L625" i="1"/>
  <c r="M624" i="1"/>
  <c r="L624" i="1"/>
  <c r="M623" i="1"/>
  <c r="L623" i="1"/>
  <c r="M622" i="1"/>
  <c r="L622" i="1"/>
  <c r="M621" i="1"/>
  <c r="L621" i="1"/>
  <c r="M620" i="1"/>
  <c r="L620" i="1"/>
  <c r="M619" i="1"/>
  <c r="L619" i="1"/>
  <c r="M618" i="1"/>
  <c r="L618" i="1"/>
  <c r="M617" i="1"/>
  <c r="L617" i="1"/>
  <c r="M616" i="1"/>
  <c r="L616" i="1"/>
  <c r="M615" i="1"/>
  <c r="L615" i="1"/>
  <c r="M614" i="1"/>
  <c r="L614" i="1"/>
  <c r="M613" i="1"/>
  <c r="L613" i="1"/>
  <c r="M612" i="1"/>
  <c r="L612" i="1"/>
  <c r="M611" i="1"/>
  <c r="L611" i="1"/>
  <c r="M610" i="1"/>
  <c r="L610" i="1"/>
  <c r="M609" i="1"/>
  <c r="L609" i="1"/>
  <c r="M608" i="1"/>
  <c r="L608" i="1"/>
  <c r="M607" i="1"/>
  <c r="L607" i="1"/>
  <c r="M606" i="1"/>
  <c r="L606" i="1"/>
  <c r="M605" i="1"/>
  <c r="L605" i="1"/>
  <c r="M604" i="1"/>
  <c r="L604" i="1"/>
  <c r="M603" i="1"/>
  <c r="L603" i="1"/>
  <c r="M602" i="1"/>
  <c r="L602" i="1"/>
  <c r="M601" i="1"/>
  <c r="L601" i="1"/>
  <c r="M600" i="1"/>
  <c r="L600" i="1"/>
  <c r="M599" i="1"/>
  <c r="L599" i="1"/>
  <c r="M598" i="1"/>
  <c r="L598" i="1"/>
  <c r="M597" i="1"/>
  <c r="L597" i="1"/>
  <c r="M596" i="1"/>
  <c r="L596" i="1"/>
  <c r="M595" i="1"/>
  <c r="L595" i="1"/>
  <c r="M594" i="1"/>
  <c r="L594" i="1"/>
  <c r="M593" i="1"/>
  <c r="L593" i="1"/>
  <c r="M592" i="1"/>
  <c r="L592" i="1"/>
  <c r="M591" i="1"/>
  <c r="L591" i="1"/>
  <c r="M590" i="1"/>
  <c r="L590" i="1"/>
  <c r="M589" i="1"/>
  <c r="L589" i="1"/>
  <c r="M588" i="1"/>
  <c r="L588" i="1"/>
  <c r="M587" i="1"/>
  <c r="L587" i="1"/>
  <c r="M586" i="1"/>
  <c r="L586" i="1"/>
  <c r="M585" i="1"/>
  <c r="L585" i="1"/>
  <c r="M584" i="1"/>
  <c r="L584" i="1"/>
  <c r="M583" i="1"/>
  <c r="L583" i="1"/>
  <c r="M582" i="1"/>
  <c r="L582" i="1"/>
  <c r="M581" i="1"/>
  <c r="L581" i="1"/>
  <c r="M580" i="1"/>
  <c r="L580" i="1"/>
  <c r="M579" i="1"/>
  <c r="L579" i="1"/>
  <c r="M578" i="1"/>
  <c r="L578" i="1"/>
  <c r="M577" i="1"/>
  <c r="L577" i="1"/>
  <c r="M576" i="1"/>
  <c r="L576" i="1"/>
  <c r="M575" i="1"/>
  <c r="L575" i="1"/>
  <c r="M574" i="1"/>
  <c r="L574" i="1"/>
  <c r="M573" i="1"/>
  <c r="L573" i="1"/>
  <c r="M572" i="1"/>
  <c r="L572" i="1"/>
  <c r="M571" i="1"/>
  <c r="L571" i="1"/>
  <c r="M570" i="1"/>
  <c r="L570" i="1"/>
  <c r="M569" i="1"/>
  <c r="L569" i="1"/>
  <c r="M568" i="1"/>
  <c r="L568" i="1"/>
  <c r="M567" i="1"/>
  <c r="L567" i="1"/>
  <c r="M566" i="1"/>
  <c r="L566" i="1"/>
  <c r="M565" i="1"/>
  <c r="L565" i="1"/>
  <c r="M564" i="1"/>
  <c r="L564" i="1"/>
  <c r="M563" i="1"/>
  <c r="L563" i="1"/>
  <c r="M562" i="1"/>
  <c r="L562" i="1"/>
  <c r="M561" i="1"/>
  <c r="L561" i="1"/>
  <c r="M560" i="1"/>
  <c r="L560" i="1"/>
  <c r="M559" i="1"/>
  <c r="L559" i="1"/>
  <c r="M558" i="1"/>
  <c r="L558" i="1"/>
  <c r="M557" i="1"/>
  <c r="L557" i="1"/>
  <c r="M556" i="1"/>
  <c r="L556" i="1"/>
  <c r="M555" i="1"/>
  <c r="L555" i="1"/>
  <c r="M554" i="1"/>
  <c r="L554" i="1"/>
  <c r="M553" i="1"/>
  <c r="L553" i="1"/>
  <c r="M552" i="1"/>
  <c r="L552" i="1"/>
  <c r="M551" i="1"/>
  <c r="L551" i="1"/>
  <c r="M550" i="1"/>
  <c r="L550" i="1"/>
  <c r="M549" i="1"/>
  <c r="L549" i="1"/>
  <c r="M548" i="1"/>
  <c r="L548" i="1"/>
  <c r="M547" i="1"/>
  <c r="L547" i="1"/>
  <c r="M546" i="1"/>
  <c r="L546" i="1"/>
  <c r="M545" i="1"/>
  <c r="L545" i="1"/>
  <c r="M544" i="1"/>
  <c r="L544" i="1"/>
  <c r="M543" i="1"/>
  <c r="L543" i="1"/>
  <c r="M542" i="1"/>
  <c r="L542" i="1"/>
  <c r="M541" i="1"/>
  <c r="L541" i="1"/>
  <c r="M540" i="1"/>
  <c r="L540" i="1"/>
  <c r="M539" i="1"/>
  <c r="L539" i="1"/>
  <c r="M538" i="1"/>
  <c r="L538" i="1"/>
  <c r="M537" i="1"/>
  <c r="L537" i="1"/>
  <c r="M536" i="1"/>
  <c r="L536" i="1"/>
  <c r="M535" i="1"/>
  <c r="L535" i="1"/>
  <c r="M534" i="1"/>
  <c r="L534" i="1"/>
  <c r="M533" i="1"/>
  <c r="L533" i="1"/>
  <c r="M532" i="1"/>
  <c r="L532" i="1"/>
  <c r="M531" i="1"/>
  <c r="L531" i="1"/>
  <c r="M530" i="1"/>
  <c r="L530" i="1"/>
  <c r="M529" i="1"/>
  <c r="L529" i="1"/>
  <c r="M528" i="1"/>
  <c r="L528" i="1"/>
  <c r="M527" i="1"/>
  <c r="L527" i="1"/>
  <c r="M526" i="1"/>
  <c r="L526" i="1"/>
  <c r="M525" i="1"/>
  <c r="L525" i="1"/>
  <c r="M524" i="1"/>
  <c r="L524" i="1"/>
  <c r="M523" i="1"/>
  <c r="L523" i="1"/>
  <c r="M522" i="1"/>
  <c r="L522" i="1"/>
  <c r="M521" i="1"/>
  <c r="L521" i="1"/>
  <c r="M520" i="1"/>
  <c r="L520" i="1"/>
  <c r="M519" i="1"/>
  <c r="L519" i="1"/>
  <c r="M518" i="1"/>
  <c r="L518" i="1"/>
  <c r="M517" i="1"/>
  <c r="L517" i="1"/>
  <c r="M516" i="1"/>
  <c r="L516" i="1"/>
  <c r="M515" i="1"/>
  <c r="L515" i="1"/>
  <c r="M514" i="1"/>
  <c r="L514" i="1"/>
  <c r="M513" i="1"/>
  <c r="L513" i="1"/>
  <c r="M512" i="1"/>
  <c r="L512" i="1"/>
  <c r="M511" i="1"/>
  <c r="L511" i="1"/>
  <c r="M510" i="1"/>
  <c r="L510" i="1"/>
  <c r="M509" i="1"/>
  <c r="L509" i="1"/>
  <c r="M508" i="1"/>
  <c r="L508" i="1"/>
  <c r="M507" i="1"/>
  <c r="L507" i="1"/>
  <c r="M506" i="1"/>
  <c r="L506" i="1"/>
  <c r="M505" i="1"/>
  <c r="L505" i="1"/>
  <c r="M504" i="1"/>
  <c r="L504" i="1"/>
  <c r="M503" i="1"/>
  <c r="L503" i="1"/>
  <c r="M502" i="1"/>
  <c r="L502" i="1"/>
  <c r="M501" i="1"/>
  <c r="L501" i="1"/>
  <c r="M500" i="1"/>
  <c r="L500" i="1"/>
  <c r="K500" i="1"/>
  <c r="M499" i="1"/>
  <c r="L499" i="1"/>
  <c r="K499" i="1"/>
  <c r="M498" i="1"/>
  <c r="L498" i="1"/>
  <c r="K498" i="1"/>
  <c r="M497" i="1"/>
  <c r="L497" i="1"/>
  <c r="K497" i="1"/>
  <c r="M496" i="1"/>
  <c r="L496" i="1"/>
  <c r="K496" i="1"/>
  <c r="M495" i="1"/>
  <c r="L495" i="1"/>
  <c r="K495" i="1"/>
  <c r="M494" i="1"/>
  <c r="L494" i="1"/>
  <c r="K494" i="1"/>
  <c r="M493" i="1"/>
  <c r="L493" i="1"/>
  <c r="K493" i="1"/>
  <c r="M492" i="1"/>
  <c r="L492" i="1"/>
  <c r="K492" i="1"/>
  <c r="M491" i="1"/>
  <c r="L491" i="1"/>
  <c r="K491" i="1"/>
  <c r="M490" i="1"/>
  <c r="L490" i="1"/>
  <c r="K490" i="1"/>
  <c r="M489" i="1"/>
  <c r="L489" i="1"/>
  <c r="K489" i="1"/>
  <c r="M488" i="1"/>
  <c r="L488" i="1"/>
  <c r="K488" i="1"/>
  <c r="M487" i="1"/>
  <c r="L487" i="1"/>
  <c r="K487" i="1"/>
  <c r="M486" i="1"/>
  <c r="L486" i="1"/>
  <c r="K486" i="1"/>
  <c r="M485" i="1"/>
  <c r="L485" i="1"/>
  <c r="K485" i="1"/>
  <c r="M484" i="1"/>
  <c r="L484" i="1"/>
  <c r="K484" i="1"/>
  <c r="M483" i="1"/>
  <c r="L483" i="1"/>
  <c r="K483" i="1"/>
  <c r="M482" i="1"/>
  <c r="L482" i="1"/>
  <c r="K482" i="1"/>
  <c r="M481" i="1"/>
  <c r="L481" i="1"/>
  <c r="K481" i="1"/>
  <c r="M480" i="1"/>
  <c r="L480" i="1"/>
  <c r="K480" i="1"/>
  <c r="M479" i="1"/>
  <c r="L479" i="1"/>
  <c r="K479" i="1"/>
  <c r="M478" i="1"/>
  <c r="L478" i="1"/>
  <c r="K478" i="1"/>
  <c r="M477" i="1"/>
  <c r="L477" i="1"/>
  <c r="K477" i="1"/>
  <c r="M476" i="1"/>
  <c r="L476" i="1"/>
  <c r="K476" i="1"/>
  <c r="M475" i="1"/>
  <c r="L475" i="1"/>
  <c r="K475" i="1"/>
  <c r="M474" i="1"/>
  <c r="L474" i="1"/>
  <c r="K474" i="1"/>
  <c r="M473" i="1"/>
  <c r="L473" i="1"/>
  <c r="K473" i="1"/>
  <c r="M472" i="1"/>
  <c r="L472" i="1"/>
  <c r="K472" i="1"/>
  <c r="M471" i="1"/>
  <c r="L471" i="1"/>
  <c r="K471" i="1"/>
  <c r="M470" i="1"/>
  <c r="L470" i="1"/>
  <c r="K470" i="1"/>
  <c r="M469" i="1"/>
  <c r="L469" i="1"/>
  <c r="K469" i="1"/>
  <c r="M468" i="1"/>
  <c r="L468" i="1"/>
  <c r="K468" i="1"/>
  <c r="M467" i="1"/>
  <c r="L467" i="1"/>
  <c r="K467" i="1"/>
  <c r="M466" i="1"/>
  <c r="L466" i="1"/>
  <c r="K466" i="1"/>
  <c r="M465" i="1"/>
  <c r="L465" i="1"/>
  <c r="K465" i="1"/>
  <c r="M464" i="1"/>
  <c r="L464" i="1"/>
  <c r="K464" i="1"/>
  <c r="M463" i="1"/>
  <c r="L463" i="1"/>
  <c r="K463" i="1"/>
  <c r="M462" i="1"/>
  <c r="L462" i="1"/>
  <c r="K462" i="1"/>
  <c r="M461" i="1"/>
  <c r="L461" i="1"/>
  <c r="K461" i="1"/>
  <c r="M460" i="1"/>
  <c r="L460" i="1"/>
  <c r="K460" i="1"/>
  <c r="M459" i="1"/>
  <c r="L459" i="1"/>
  <c r="K459" i="1"/>
  <c r="M458" i="1"/>
  <c r="L458" i="1"/>
  <c r="K458" i="1"/>
  <c r="M457" i="1"/>
  <c r="L457" i="1"/>
  <c r="K457" i="1"/>
  <c r="M456" i="1"/>
  <c r="L456" i="1"/>
  <c r="K456" i="1"/>
  <c r="M455" i="1"/>
  <c r="L455" i="1"/>
  <c r="K455" i="1"/>
  <c r="M454" i="1"/>
  <c r="L454" i="1"/>
  <c r="K454" i="1"/>
  <c r="M453" i="1"/>
  <c r="L453" i="1"/>
  <c r="K453" i="1"/>
  <c r="M452" i="1"/>
  <c r="L452" i="1"/>
  <c r="K452" i="1"/>
  <c r="M451" i="1"/>
  <c r="L451" i="1"/>
  <c r="K451" i="1"/>
  <c r="M450" i="1"/>
  <c r="L450" i="1"/>
  <c r="K450" i="1"/>
  <c r="M449" i="1"/>
  <c r="L449" i="1"/>
  <c r="K449" i="1"/>
  <c r="M448" i="1"/>
  <c r="L448" i="1"/>
  <c r="K448" i="1"/>
  <c r="M447" i="1"/>
  <c r="L447" i="1"/>
  <c r="K447" i="1"/>
  <c r="M446" i="1"/>
  <c r="L446" i="1"/>
  <c r="K446" i="1"/>
  <c r="M445" i="1"/>
  <c r="L445" i="1"/>
  <c r="K445" i="1"/>
  <c r="M444" i="1"/>
  <c r="L444" i="1"/>
  <c r="K444" i="1"/>
  <c r="M443" i="1"/>
  <c r="L443" i="1"/>
  <c r="K443" i="1"/>
  <c r="M442" i="1"/>
  <c r="L442" i="1"/>
  <c r="K442" i="1"/>
  <c r="M441" i="1"/>
  <c r="L441" i="1"/>
  <c r="K441" i="1"/>
  <c r="M440" i="1"/>
  <c r="L440" i="1"/>
  <c r="K440" i="1"/>
  <c r="M439" i="1"/>
  <c r="L439" i="1"/>
  <c r="K439" i="1"/>
  <c r="M438" i="1"/>
  <c r="L438" i="1"/>
  <c r="K438" i="1"/>
  <c r="M437" i="1"/>
  <c r="L437" i="1"/>
  <c r="K437" i="1"/>
  <c r="M436" i="1"/>
  <c r="L436" i="1"/>
  <c r="K436" i="1"/>
  <c r="M435" i="1"/>
  <c r="L435" i="1"/>
  <c r="K435" i="1"/>
  <c r="M434" i="1"/>
  <c r="L434" i="1"/>
  <c r="K434" i="1"/>
  <c r="M433" i="1"/>
  <c r="L433" i="1"/>
  <c r="K433" i="1"/>
  <c r="M432" i="1"/>
  <c r="L432" i="1"/>
  <c r="K432" i="1"/>
  <c r="M431" i="1"/>
  <c r="L431" i="1"/>
  <c r="K431" i="1"/>
  <c r="M430" i="1"/>
  <c r="L430" i="1"/>
  <c r="K430" i="1"/>
  <c r="M429" i="1"/>
  <c r="L429" i="1"/>
  <c r="K429" i="1"/>
  <c r="M428" i="1"/>
  <c r="L428" i="1"/>
  <c r="K428" i="1"/>
  <c r="M427" i="1"/>
  <c r="L427" i="1"/>
  <c r="K427" i="1"/>
  <c r="M426" i="1"/>
  <c r="L426" i="1"/>
  <c r="K426" i="1"/>
  <c r="M425" i="1"/>
  <c r="L425" i="1"/>
  <c r="K425" i="1"/>
  <c r="M424" i="1"/>
  <c r="L424" i="1"/>
  <c r="K424" i="1"/>
  <c r="M423" i="1"/>
  <c r="L423" i="1"/>
  <c r="K423" i="1"/>
  <c r="M422" i="1"/>
  <c r="L422" i="1"/>
  <c r="K422" i="1"/>
  <c r="M421" i="1"/>
  <c r="L421" i="1"/>
  <c r="K421" i="1"/>
  <c r="M420" i="1"/>
  <c r="L420" i="1"/>
  <c r="K420" i="1"/>
  <c r="M419" i="1"/>
  <c r="L419" i="1"/>
  <c r="K419" i="1"/>
  <c r="M418" i="1"/>
  <c r="L418" i="1"/>
  <c r="K418" i="1"/>
  <c r="M417" i="1"/>
  <c r="L417" i="1"/>
  <c r="K417" i="1"/>
  <c r="M416" i="1"/>
  <c r="L416" i="1"/>
  <c r="K416" i="1"/>
  <c r="M415" i="1"/>
  <c r="L415" i="1"/>
  <c r="K415" i="1"/>
  <c r="M414" i="1"/>
  <c r="L414" i="1"/>
  <c r="K414" i="1"/>
  <c r="M413" i="1"/>
  <c r="L413" i="1"/>
  <c r="K413" i="1"/>
  <c r="M412" i="1"/>
  <c r="L412" i="1"/>
  <c r="K412" i="1"/>
  <c r="M411" i="1"/>
  <c r="L411" i="1"/>
  <c r="K411" i="1"/>
  <c r="M410" i="1"/>
  <c r="L410" i="1"/>
  <c r="K410" i="1"/>
  <c r="M409" i="1"/>
  <c r="L409" i="1"/>
  <c r="K409" i="1"/>
  <c r="M408" i="1"/>
  <c r="L408" i="1"/>
  <c r="K408" i="1"/>
  <c r="M407" i="1"/>
  <c r="L407" i="1"/>
  <c r="K407" i="1"/>
  <c r="M406" i="1"/>
  <c r="L406" i="1"/>
  <c r="K406" i="1"/>
  <c r="M405" i="1"/>
  <c r="L405" i="1"/>
  <c r="K405" i="1"/>
  <c r="M404" i="1"/>
  <c r="L404" i="1"/>
  <c r="K404" i="1"/>
  <c r="M403" i="1"/>
  <c r="L403" i="1"/>
  <c r="K403" i="1"/>
  <c r="M402" i="1"/>
  <c r="L402" i="1"/>
  <c r="K402" i="1"/>
  <c r="M401" i="1"/>
  <c r="L401" i="1"/>
  <c r="K401" i="1"/>
  <c r="M400" i="1"/>
  <c r="L400" i="1"/>
  <c r="K400" i="1"/>
  <c r="M399" i="1"/>
  <c r="L399" i="1"/>
  <c r="K399" i="1"/>
  <c r="M398" i="1"/>
  <c r="L398" i="1"/>
  <c r="K398" i="1"/>
  <c r="M397" i="1"/>
  <c r="L397" i="1"/>
  <c r="K397" i="1"/>
  <c r="M396" i="1"/>
  <c r="L396" i="1"/>
  <c r="K396" i="1"/>
  <c r="M395" i="1"/>
  <c r="L395" i="1"/>
  <c r="K395" i="1"/>
  <c r="M394" i="1"/>
  <c r="L394" i="1"/>
  <c r="K394" i="1"/>
  <c r="M393" i="1"/>
  <c r="L393" i="1"/>
  <c r="K393" i="1"/>
  <c r="M392" i="1"/>
  <c r="L392" i="1"/>
  <c r="K392" i="1"/>
  <c r="M391" i="1"/>
  <c r="L391" i="1"/>
  <c r="K391" i="1"/>
  <c r="M390" i="1"/>
  <c r="L390" i="1"/>
  <c r="K390" i="1"/>
  <c r="L230" i="1"/>
  <c r="M230" i="1" s="1"/>
  <c r="K230" i="1"/>
  <c r="L336" i="1"/>
  <c r="M336" i="1" s="1"/>
  <c r="K336" i="1"/>
  <c r="L5" i="1"/>
  <c r="M5" i="1" s="1"/>
  <c r="K5" i="1"/>
  <c r="L276" i="1"/>
  <c r="M276" i="1" s="1"/>
  <c r="K276" i="1"/>
  <c r="L135" i="1"/>
  <c r="M135" i="1" s="1"/>
  <c r="K135" i="1"/>
  <c r="L134" i="1"/>
  <c r="M134" i="1" s="1"/>
  <c r="K134" i="1"/>
  <c r="L228" i="1"/>
  <c r="M228" i="1" s="1"/>
  <c r="K228" i="1"/>
  <c r="L222" i="1"/>
  <c r="M222" i="1" s="1"/>
  <c r="K222" i="1"/>
  <c r="L375" i="1"/>
  <c r="M375" i="1" s="1"/>
  <c r="K375" i="1"/>
  <c r="L297" i="1"/>
  <c r="M297" i="1" s="1"/>
  <c r="K297" i="1"/>
  <c r="L232" i="1"/>
  <c r="M232" i="1" s="1"/>
  <c r="K232" i="1"/>
  <c r="L335" i="1"/>
  <c r="M335" i="1" s="1"/>
  <c r="K335" i="1"/>
  <c r="L337" i="1"/>
  <c r="M337" i="1" s="1"/>
  <c r="K337" i="1"/>
  <c r="L279" i="1"/>
  <c r="M279" i="1" s="1"/>
  <c r="K279" i="1"/>
  <c r="L229" i="1"/>
  <c r="M229" i="1" s="1"/>
  <c r="K229" i="1"/>
  <c r="L136" i="1"/>
  <c r="M136" i="1" s="1"/>
  <c r="K136" i="1"/>
  <c r="L268" i="1"/>
  <c r="M268" i="1" s="1"/>
  <c r="K268" i="1"/>
  <c r="L37" i="1"/>
  <c r="M37" i="1" s="1"/>
  <c r="K37" i="1"/>
  <c r="L132" i="1"/>
  <c r="M132" i="1" s="1"/>
  <c r="K132" i="1"/>
  <c r="L137" i="1"/>
  <c r="M137" i="1" s="1"/>
  <c r="K137" i="1"/>
  <c r="L231" i="1"/>
  <c r="M231" i="1" s="1"/>
  <c r="K231" i="1"/>
  <c r="L311" i="1"/>
  <c r="M311" i="1" s="1"/>
  <c r="K311" i="1"/>
  <c r="L221" i="1"/>
  <c r="M221" i="1" s="1"/>
  <c r="K221" i="1"/>
  <c r="L131" i="1"/>
  <c r="M131" i="1" s="1"/>
  <c r="K131" i="1"/>
  <c r="L205" i="1"/>
  <c r="M205" i="1" s="1"/>
  <c r="K205" i="1"/>
  <c r="L58" i="1"/>
  <c r="M58" i="1" s="1"/>
  <c r="K58" i="1"/>
  <c r="L109" i="1"/>
  <c r="M109" i="1" s="1"/>
  <c r="K109" i="1"/>
  <c r="L95" i="1"/>
  <c r="M95" i="1" s="1"/>
  <c r="K95" i="1"/>
  <c r="L275" i="1"/>
  <c r="M275" i="1" s="1"/>
  <c r="K275" i="1"/>
  <c r="L313" i="1"/>
  <c r="M313" i="1" s="1"/>
  <c r="K313" i="1"/>
  <c r="L302" i="1"/>
  <c r="M302" i="1" s="1"/>
  <c r="K302" i="1"/>
  <c r="L64" i="1"/>
  <c r="M64" i="1" s="1"/>
  <c r="K64" i="1"/>
  <c r="L374" i="1"/>
  <c r="M374" i="1" s="1"/>
  <c r="K374" i="1"/>
  <c r="L59" i="1"/>
  <c r="M59" i="1" s="1"/>
  <c r="K59" i="1"/>
  <c r="L68" i="1"/>
  <c r="M68" i="1" s="1"/>
  <c r="K68" i="1"/>
  <c r="L133" i="1"/>
  <c r="M133" i="1" s="1"/>
  <c r="K133" i="1"/>
  <c r="L223" i="1"/>
  <c r="M223" i="1" s="1"/>
  <c r="K223" i="1"/>
  <c r="L189" i="1"/>
  <c r="M189" i="1" s="1"/>
  <c r="K189" i="1"/>
  <c r="L130" i="1"/>
  <c r="M130" i="1" s="1"/>
  <c r="K130" i="1"/>
  <c r="L354" i="1"/>
  <c r="M354" i="1" s="1"/>
  <c r="K354" i="1"/>
  <c r="L62" i="1"/>
  <c r="M62" i="1" s="1"/>
  <c r="K62" i="1"/>
  <c r="L8" i="1"/>
  <c r="M8" i="1" s="1"/>
  <c r="K8" i="1"/>
  <c r="L277" i="1"/>
  <c r="M277" i="1" s="1"/>
  <c r="K277" i="1"/>
  <c r="L45" i="1"/>
  <c r="M45" i="1" s="1"/>
  <c r="K45" i="1"/>
  <c r="L9" i="1"/>
  <c r="M9" i="1" s="1"/>
  <c r="K9" i="1"/>
  <c r="L226" i="1"/>
  <c r="M226" i="1" s="1"/>
  <c r="K226" i="1"/>
  <c r="L63" i="1"/>
  <c r="M63" i="1" s="1"/>
  <c r="K63" i="1"/>
  <c r="L36" i="1"/>
  <c r="M36" i="1" s="1"/>
  <c r="K36" i="1"/>
  <c r="L10" i="1"/>
  <c r="M10" i="1" s="1"/>
  <c r="K10" i="1"/>
  <c r="L7" i="1"/>
  <c r="M7" i="1" s="1"/>
  <c r="K7" i="1"/>
  <c r="L167" i="1"/>
  <c r="M167" i="1" s="1"/>
  <c r="K167" i="1"/>
  <c r="L227" i="1"/>
  <c r="M227" i="1" s="1"/>
  <c r="K227" i="1"/>
  <c r="L14" i="1"/>
  <c r="M14" i="1" s="1"/>
  <c r="K14" i="1"/>
  <c r="L273" i="1"/>
  <c r="M273" i="1" s="1"/>
  <c r="K273" i="1"/>
  <c r="L15" i="1"/>
  <c r="M15" i="1" s="1"/>
  <c r="K15" i="1"/>
  <c r="L256" i="1"/>
  <c r="M256" i="1" s="1"/>
  <c r="K256" i="1"/>
  <c r="L3" i="1"/>
  <c r="M3" i="1" s="1"/>
  <c r="K3" i="1"/>
  <c r="L44" i="1"/>
  <c r="M44" i="1" s="1"/>
  <c r="K44" i="1"/>
  <c r="L69" i="1"/>
  <c r="M69" i="1" s="1"/>
  <c r="K69" i="1"/>
  <c r="L187" i="1"/>
  <c r="M187" i="1" s="1"/>
  <c r="K187" i="1"/>
  <c r="L105" i="1"/>
  <c r="M105" i="1" s="1"/>
  <c r="K105" i="1"/>
  <c r="L54" i="1"/>
  <c r="M54" i="1" s="1"/>
  <c r="K54" i="1"/>
  <c r="L259" i="1"/>
  <c r="M259" i="1" s="1"/>
  <c r="K259" i="1"/>
  <c r="L325" i="1"/>
  <c r="M325" i="1" s="1"/>
  <c r="K325" i="1"/>
  <c r="L92" i="1"/>
  <c r="M92" i="1" s="1"/>
  <c r="K92" i="1"/>
  <c r="L145" i="1"/>
  <c r="M145" i="1" s="1"/>
  <c r="K145" i="1"/>
  <c r="L138" i="1"/>
  <c r="M138" i="1" s="1"/>
  <c r="K138" i="1"/>
  <c r="L93" i="1"/>
  <c r="M93" i="1" s="1"/>
  <c r="K93" i="1"/>
  <c r="L305" i="1"/>
  <c r="M305" i="1" s="1"/>
  <c r="K305" i="1"/>
  <c r="L213" i="1"/>
  <c r="M213" i="1" s="1"/>
  <c r="K213" i="1"/>
  <c r="L113" i="1"/>
  <c r="M113" i="1" s="1"/>
  <c r="K113" i="1"/>
  <c r="L388" i="1"/>
  <c r="M388" i="1" s="1"/>
  <c r="K388" i="1"/>
  <c r="L128" i="1"/>
  <c r="M128" i="1" s="1"/>
  <c r="K128" i="1"/>
  <c r="L89" i="1"/>
  <c r="M89" i="1" s="1"/>
  <c r="K89" i="1"/>
  <c r="L21" i="1"/>
  <c r="M21" i="1" s="1"/>
  <c r="K21" i="1"/>
  <c r="L334" i="1"/>
  <c r="M334" i="1" s="1"/>
  <c r="K334" i="1"/>
  <c r="L346" i="1"/>
  <c r="M346" i="1" s="1"/>
  <c r="K346" i="1"/>
  <c r="L364" i="1"/>
  <c r="M364" i="1" s="1"/>
  <c r="K364" i="1"/>
  <c r="L220" i="1"/>
  <c r="M220" i="1" s="1"/>
  <c r="K220" i="1"/>
  <c r="L203" i="1"/>
  <c r="M203" i="1" s="1"/>
  <c r="K203" i="1"/>
  <c r="L49" i="1"/>
  <c r="M49" i="1" s="1"/>
  <c r="K49" i="1"/>
  <c r="L233" i="1"/>
  <c r="M233" i="1" s="1"/>
  <c r="K233" i="1"/>
  <c r="L341" i="1"/>
  <c r="M341" i="1" s="1"/>
  <c r="K341" i="1"/>
  <c r="L310" i="1"/>
  <c r="M310" i="1" s="1"/>
  <c r="K310" i="1"/>
  <c r="L24" i="1"/>
  <c r="M24" i="1" s="1"/>
  <c r="K24" i="1"/>
  <c r="L101" i="1"/>
  <c r="M101" i="1" s="1"/>
  <c r="K101" i="1"/>
  <c r="L66" i="1"/>
  <c r="M66" i="1" s="1"/>
  <c r="K66" i="1"/>
  <c r="L225" i="1"/>
  <c r="M225" i="1" s="1"/>
  <c r="K225" i="1"/>
  <c r="L82" i="1"/>
  <c r="M82" i="1" s="1"/>
  <c r="K82" i="1"/>
  <c r="L199" i="1"/>
  <c r="M199" i="1" s="1"/>
  <c r="K199" i="1"/>
  <c r="L112" i="1"/>
  <c r="M112" i="1" s="1"/>
  <c r="K112" i="1"/>
  <c r="L271" i="1"/>
  <c r="M271" i="1" s="1"/>
  <c r="K271" i="1"/>
  <c r="L115" i="1"/>
  <c r="M115" i="1" s="1"/>
  <c r="K115" i="1"/>
  <c r="L72" i="1"/>
  <c r="M72" i="1" s="1"/>
  <c r="K72" i="1"/>
  <c r="L118" i="1"/>
  <c r="M118" i="1" s="1"/>
  <c r="K118" i="1"/>
  <c r="L191" i="1"/>
  <c r="M191" i="1" s="1"/>
  <c r="K191" i="1"/>
  <c r="L370" i="1"/>
  <c r="M370" i="1" s="1"/>
  <c r="K370" i="1"/>
  <c r="L110" i="1"/>
  <c r="M110" i="1" s="1"/>
  <c r="K110" i="1"/>
  <c r="L340" i="1"/>
  <c r="M340" i="1" s="1"/>
  <c r="K340" i="1"/>
  <c r="L147" i="1"/>
  <c r="M147" i="1" s="1"/>
  <c r="K147" i="1"/>
  <c r="L320" i="1"/>
  <c r="M320" i="1" s="1"/>
  <c r="K320" i="1"/>
  <c r="L201" i="1"/>
  <c r="M201" i="1" s="1"/>
  <c r="K201" i="1"/>
  <c r="L192" i="1"/>
  <c r="M192" i="1" s="1"/>
  <c r="K192" i="1"/>
  <c r="L182" i="1"/>
  <c r="M182" i="1" s="1"/>
  <c r="K182" i="1"/>
  <c r="L173" i="1"/>
  <c r="M173" i="1" s="1"/>
  <c r="K173" i="1"/>
  <c r="L345" i="1"/>
  <c r="M345" i="1" s="1"/>
  <c r="K345" i="1"/>
  <c r="L144" i="1"/>
  <c r="M144" i="1" s="1"/>
  <c r="K144" i="1"/>
  <c r="L114" i="1"/>
  <c r="M114" i="1" s="1"/>
  <c r="K114" i="1"/>
  <c r="L86" i="1"/>
  <c r="M86" i="1" s="1"/>
  <c r="K86" i="1"/>
  <c r="L383" i="1"/>
  <c r="M383" i="1" s="1"/>
  <c r="K383" i="1"/>
  <c r="L349" i="1"/>
  <c r="M349" i="1" s="1"/>
  <c r="K349" i="1"/>
  <c r="L307" i="1"/>
  <c r="M307" i="1" s="1"/>
  <c r="K307" i="1"/>
  <c r="L117" i="1"/>
  <c r="M117" i="1" s="1"/>
  <c r="K117" i="1"/>
  <c r="L371" i="1"/>
  <c r="M371" i="1" s="1"/>
  <c r="K371" i="1"/>
  <c r="L155" i="1"/>
  <c r="M155" i="1" s="1"/>
  <c r="K155" i="1"/>
  <c r="L116" i="1"/>
  <c r="M116" i="1" s="1"/>
  <c r="K116" i="1"/>
  <c r="L365" i="1"/>
  <c r="M365" i="1" s="1"/>
  <c r="K365" i="1"/>
  <c r="L252" i="1"/>
  <c r="M252" i="1" s="1"/>
  <c r="K252" i="1"/>
  <c r="L208" i="1"/>
  <c r="M208" i="1" s="1"/>
  <c r="K208" i="1"/>
  <c r="L157" i="1"/>
  <c r="M157" i="1" s="1"/>
  <c r="K157" i="1"/>
  <c r="L373" i="1"/>
  <c r="M373" i="1" s="1"/>
  <c r="K373" i="1"/>
  <c r="L301" i="1"/>
  <c r="M301" i="1" s="1"/>
  <c r="K301" i="1"/>
  <c r="L77" i="1"/>
  <c r="M77" i="1" s="1"/>
  <c r="K77" i="1"/>
  <c r="L181" i="1"/>
  <c r="M181" i="1" s="1"/>
  <c r="K181" i="1"/>
  <c r="L123" i="1"/>
  <c r="M123" i="1" s="1"/>
  <c r="K123" i="1"/>
  <c r="L94" i="1"/>
  <c r="M94" i="1" s="1"/>
  <c r="K94" i="1"/>
  <c r="L359" i="1"/>
  <c r="M359" i="1" s="1"/>
  <c r="K359" i="1"/>
  <c r="L324" i="1"/>
  <c r="M324" i="1" s="1"/>
  <c r="K324" i="1"/>
  <c r="L80" i="1"/>
  <c r="M80" i="1" s="1"/>
  <c r="K80" i="1"/>
  <c r="L53" i="1"/>
  <c r="M53" i="1" s="1"/>
  <c r="K53" i="1"/>
  <c r="L326" i="1"/>
  <c r="M326" i="1" s="1"/>
  <c r="K326" i="1"/>
  <c r="L79" i="1"/>
  <c r="M79" i="1" s="1"/>
  <c r="K79" i="1"/>
  <c r="L193" i="1"/>
  <c r="M193" i="1" s="1"/>
  <c r="K193" i="1"/>
  <c r="L38" i="1"/>
  <c r="M38" i="1" s="1"/>
  <c r="K38" i="1"/>
  <c r="L16" i="1"/>
  <c r="M16" i="1" s="1"/>
  <c r="K16" i="1"/>
  <c r="L355" i="1"/>
  <c r="M355" i="1" s="1"/>
  <c r="K355" i="1"/>
  <c r="L148" i="1"/>
  <c r="M148" i="1" s="1"/>
  <c r="K148" i="1"/>
  <c r="L111" i="1"/>
  <c r="M111" i="1" s="1"/>
  <c r="K111" i="1"/>
  <c r="L103" i="1"/>
  <c r="M103" i="1" s="1"/>
  <c r="K103" i="1"/>
  <c r="L358" i="1"/>
  <c r="M358" i="1" s="1"/>
  <c r="K358" i="1"/>
  <c r="L261" i="1"/>
  <c r="M261" i="1" s="1"/>
  <c r="K261" i="1"/>
  <c r="L142" i="1"/>
  <c r="M142" i="1" s="1"/>
  <c r="K142" i="1"/>
  <c r="L141" i="1"/>
  <c r="M141" i="1" s="1"/>
  <c r="K141" i="1"/>
  <c r="L22" i="1"/>
  <c r="M22" i="1" s="1"/>
  <c r="K22" i="1"/>
  <c r="L265" i="1"/>
  <c r="M265" i="1" s="1"/>
  <c r="K265" i="1"/>
  <c r="L330" i="1"/>
  <c r="M330" i="1" s="1"/>
  <c r="K330" i="1"/>
  <c r="L196" i="1"/>
  <c r="M196" i="1" s="1"/>
  <c r="K196" i="1"/>
  <c r="L214" i="1"/>
  <c r="M214" i="1" s="1"/>
  <c r="K214" i="1"/>
  <c r="L331" i="1"/>
  <c r="M331" i="1" s="1"/>
  <c r="K331" i="1"/>
  <c r="L204" i="1"/>
  <c r="M204" i="1" s="1"/>
  <c r="K204" i="1"/>
  <c r="L143" i="1"/>
  <c r="M143" i="1" s="1"/>
  <c r="K143" i="1"/>
  <c r="L154" i="1"/>
  <c r="M154" i="1" s="1"/>
  <c r="K154" i="1"/>
  <c r="L40" i="1"/>
  <c r="M40" i="1" s="1"/>
  <c r="K40" i="1"/>
  <c r="L266" i="1"/>
  <c r="M266" i="1" s="1"/>
  <c r="K266" i="1"/>
  <c r="L183" i="1"/>
  <c r="M183" i="1" s="1"/>
  <c r="K183" i="1"/>
  <c r="L164" i="1"/>
  <c r="M164" i="1" s="1"/>
  <c r="K164" i="1"/>
  <c r="L153" i="1"/>
  <c r="M153" i="1" s="1"/>
  <c r="K153" i="1"/>
  <c r="L60" i="1"/>
  <c r="M60" i="1" s="1"/>
  <c r="K60" i="1"/>
  <c r="L195" i="1"/>
  <c r="M195" i="1" s="1"/>
  <c r="K195" i="1"/>
  <c r="L175" i="1"/>
  <c r="M175" i="1" s="1"/>
  <c r="K175" i="1"/>
  <c r="L108" i="1"/>
  <c r="M108" i="1" s="1"/>
  <c r="K108" i="1"/>
  <c r="L83" i="1"/>
  <c r="M83" i="1" s="1"/>
  <c r="K83" i="1"/>
  <c r="L323" i="1"/>
  <c r="M323" i="1" s="1"/>
  <c r="K323" i="1"/>
  <c r="L321" i="1"/>
  <c r="M321" i="1" s="1"/>
  <c r="K321" i="1"/>
  <c r="L278" i="1"/>
  <c r="M278" i="1" s="1"/>
  <c r="K278" i="1"/>
  <c r="L158" i="1"/>
  <c r="M158" i="1" s="1"/>
  <c r="K158" i="1"/>
  <c r="L162" i="1"/>
  <c r="M162" i="1" s="1"/>
  <c r="K162" i="1"/>
  <c r="L88" i="1"/>
  <c r="M88" i="1" s="1"/>
  <c r="K88" i="1"/>
  <c r="L39" i="1"/>
  <c r="M39" i="1" s="1"/>
  <c r="K39" i="1"/>
  <c r="L329" i="1"/>
  <c r="M329" i="1" s="1"/>
  <c r="K329" i="1"/>
  <c r="L333" i="1"/>
  <c r="M333" i="1" s="1"/>
  <c r="K333" i="1"/>
  <c r="L344" i="1"/>
  <c r="M344" i="1" s="1"/>
  <c r="K344" i="1"/>
  <c r="L100" i="1"/>
  <c r="M100" i="1" s="1"/>
  <c r="K100" i="1"/>
  <c r="L81" i="1"/>
  <c r="M81" i="1" s="1"/>
  <c r="K81" i="1"/>
  <c r="L42" i="1"/>
  <c r="M42" i="1" s="1"/>
  <c r="K42" i="1"/>
  <c r="L104" i="1"/>
  <c r="M104" i="1" s="1"/>
  <c r="K104" i="1"/>
  <c r="L102" i="1"/>
  <c r="M102" i="1" s="1"/>
  <c r="K102" i="1"/>
  <c r="L48" i="1"/>
  <c r="M48" i="1" s="1"/>
  <c r="K48" i="1"/>
  <c r="L363" i="1"/>
  <c r="M363" i="1" s="1"/>
  <c r="K363" i="1"/>
  <c r="L274" i="1"/>
  <c r="M274" i="1" s="1"/>
  <c r="K274" i="1"/>
  <c r="L303" i="1"/>
  <c r="M303" i="1" s="1"/>
  <c r="K303" i="1"/>
  <c r="L338" i="1"/>
  <c r="M338" i="1" s="1"/>
  <c r="K338" i="1"/>
  <c r="L263" i="1"/>
  <c r="M263" i="1" s="1"/>
  <c r="K263" i="1"/>
  <c r="L52" i="1"/>
  <c r="M52" i="1" s="1"/>
  <c r="K52" i="1"/>
  <c r="L23" i="1"/>
  <c r="M23" i="1" s="1"/>
  <c r="K23" i="1"/>
  <c r="L125" i="1"/>
  <c r="M125" i="1" s="1"/>
  <c r="K125" i="1"/>
  <c r="L25" i="1"/>
  <c r="M25" i="1" s="1"/>
  <c r="K25" i="1"/>
  <c r="L73" i="1"/>
  <c r="M73" i="1" s="1"/>
  <c r="K73" i="1"/>
  <c r="L332" i="1"/>
  <c r="M332" i="1" s="1"/>
  <c r="K332" i="1"/>
  <c r="L163" i="1"/>
  <c r="M163" i="1" s="1"/>
  <c r="K163" i="1"/>
  <c r="L267" i="1"/>
  <c r="M267" i="1" s="1"/>
  <c r="K267" i="1"/>
  <c r="L151" i="1"/>
  <c r="M151" i="1" s="1"/>
  <c r="K151" i="1"/>
  <c r="L74" i="1"/>
  <c r="M74" i="1" s="1"/>
  <c r="K74" i="1"/>
  <c r="L319" i="1"/>
  <c r="M319" i="1" s="1"/>
  <c r="K319" i="1"/>
  <c r="L298" i="1"/>
  <c r="M298" i="1" s="1"/>
  <c r="K298" i="1"/>
  <c r="L200" i="1"/>
  <c r="M200" i="1" s="1"/>
  <c r="K200" i="1"/>
  <c r="L170" i="1"/>
  <c r="M170" i="1" s="1"/>
  <c r="K170" i="1"/>
  <c r="L156" i="1"/>
  <c r="M156" i="1" s="1"/>
  <c r="K156" i="1"/>
  <c r="L122" i="1"/>
  <c r="M122" i="1" s="1"/>
  <c r="K122" i="1"/>
  <c r="L47" i="1"/>
  <c r="M47" i="1" s="1"/>
  <c r="K47" i="1"/>
  <c r="L202" i="1"/>
  <c r="M202" i="1" s="1"/>
  <c r="K202" i="1"/>
  <c r="L188" i="1"/>
  <c r="M188" i="1" s="1"/>
  <c r="K188" i="1"/>
  <c r="L174" i="1"/>
  <c r="M174" i="1" s="1"/>
  <c r="K174" i="1"/>
  <c r="L368" i="1"/>
  <c r="M368" i="1" s="1"/>
  <c r="K368" i="1"/>
  <c r="L362" i="1"/>
  <c r="M362" i="1" s="1"/>
  <c r="K362" i="1"/>
  <c r="L292" i="1"/>
  <c r="M292" i="1" s="1"/>
  <c r="K292" i="1"/>
  <c r="L236" i="1"/>
  <c r="M236" i="1" s="1"/>
  <c r="K236" i="1"/>
  <c r="L315" i="1"/>
  <c r="M315" i="1" s="1"/>
  <c r="K315" i="1"/>
  <c r="L67" i="1"/>
  <c r="M67" i="1" s="1"/>
  <c r="K67" i="1"/>
  <c r="L285" i="1"/>
  <c r="M285" i="1" s="1"/>
  <c r="K285" i="1"/>
  <c r="L152" i="1"/>
  <c r="M152" i="1" s="1"/>
  <c r="K152" i="1"/>
  <c r="L386" i="1"/>
  <c r="M386" i="1" s="1"/>
  <c r="K386" i="1"/>
  <c r="L262" i="1"/>
  <c r="M262" i="1" s="1"/>
  <c r="K262" i="1"/>
  <c r="L243" i="1"/>
  <c r="M243" i="1" s="1"/>
  <c r="K243" i="1"/>
  <c r="L150" i="1"/>
  <c r="M150" i="1" s="1"/>
  <c r="K150" i="1"/>
  <c r="L97" i="1"/>
  <c r="M97" i="1" s="1"/>
  <c r="K97" i="1"/>
  <c r="L309" i="1"/>
  <c r="M309" i="1" s="1"/>
  <c r="K309" i="1"/>
  <c r="L318" i="1"/>
  <c r="M318" i="1" s="1"/>
  <c r="K318" i="1"/>
  <c r="L56" i="1"/>
  <c r="M56" i="1" s="1"/>
  <c r="K56" i="1"/>
  <c r="L356" i="1"/>
  <c r="M356" i="1" s="1"/>
  <c r="K356" i="1"/>
  <c r="L348" i="1"/>
  <c r="M348" i="1" s="1"/>
  <c r="K348" i="1"/>
  <c r="L284" i="1"/>
  <c r="M284" i="1" s="1"/>
  <c r="K284" i="1"/>
  <c r="L184" i="1"/>
  <c r="M184" i="1" s="1"/>
  <c r="K184" i="1"/>
  <c r="L2" i="1"/>
  <c r="M2" i="1" s="1"/>
  <c r="K2" i="1"/>
  <c r="L296" i="1"/>
  <c r="M296" i="1" s="1"/>
  <c r="K296" i="1"/>
  <c r="L90" i="1"/>
  <c r="M90" i="1" s="1"/>
  <c r="K90" i="1"/>
  <c r="L360" i="1"/>
  <c r="M360" i="1" s="1"/>
  <c r="K360" i="1"/>
  <c r="L190" i="1"/>
  <c r="M190" i="1" s="1"/>
  <c r="K190" i="1"/>
  <c r="L197" i="1"/>
  <c r="M197" i="1" s="1"/>
  <c r="K197" i="1"/>
  <c r="L176" i="1"/>
  <c r="M176" i="1" s="1"/>
  <c r="K176" i="1"/>
  <c r="L169" i="1"/>
  <c r="M169" i="1" s="1"/>
  <c r="K169" i="1"/>
  <c r="L361" i="1"/>
  <c r="M361" i="1" s="1"/>
  <c r="K361" i="1"/>
  <c r="L264" i="1"/>
  <c r="M264" i="1" s="1"/>
  <c r="K264" i="1"/>
  <c r="L317" i="1"/>
  <c r="M317" i="1" s="1"/>
  <c r="K317" i="1"/>
  <c r="L290" i="1"/>
  <c r="M290" i="1" s="1"/>
  <c r="K290" i="1"/>
  <c r="L379" i="1"/>
  <c r="M379" i="1" s="1"/>
  <c r="K379" i="1"/>
  <c r="L70" i="1"/>
  <c r="M70" i="1" s="1"/>
  <c r="K70" i="1"/>
  <c r="L30" i="1"/>
  <c r="M30" i="1" s="1"/>
  <c r="K30" i="1"/>
  <c r="L387" i="1"/>
  <c r="M387" i="1" s="1"/>
  <c r="K387" i="1"/>
  <c r="L50" i="1"/>
  <c r="M50" i="1" s="1"/>
  <c r="K50" i="1"/>
  <c r="L20" i="1"/>
  <c r="M20" i="1" s="1"/>
  <c r="K20" i="1"/>
  <c r="L27" i="1"/>
  <c r="M27" i="1" s="1"/>
  <c r="K27" i="1"/>
  <c r="L270" i="1"/>
  <c r="M270" i="1" s="1"/>
  <c r="K270" i="1"/>
  <c r="L377" i="1"/>
  <c r="M377" i="1" s="1"/>
  <c r="K377" i="1"/>
  <c r="L51" i="1"/>
  <c r="M51" i="1" s="1"/>
  <c r="K51" i="1"/>
  <c r="L46" i="1"/>
  <c r="M46" i="1" s="1"/>
  <c r="K46" i="1"/>
  <c r="L28" i="1"/>
  <c r="M28" i="1" s="1"/>
  <c r="K28" i="1"/>
  <c r="L287" i="1"/>
  <c r="M287" i="1" s="1"/>
  <c r="K287" i="1"/>
  <c r="L282" i="1"/>
  <c r="M282" i="1" s="1"/>
  <c r="K282" i="1"/>
  <c r="L239" i="1"/>
  <c r="M239" i="1" s="1"/>
  <c r="K239" i="1"/>
  <c r="L291" i="1"/>
  <c r="M291" i="1" s="1"/>
  <c r="K291" i="1"/>
  <c r="L234" i="1"/>
  <c r="M234" i="1" s="1"/>
  <c r="K234" i="1"/>
  <c r="L177" i="1"/>
  <c r="M177" i="1" s="1"/>
  <c r="K177" i="1"/>
  <c r="L85" i="1"/>
  <c r="M85" i="1" s="1"/>
  <c r="K85" i="1"/>
  <c r="L237" i="1"/>
  <c r="M237" i="1" s="1"/>
  <c r="K237" i="1"/>
  <c r="L218" i="1"/>
  <c r="M218" i="1" s="1"/>
  <c r="K218" i="1"/>
  <c r="L107" i="1"/>
  <c r="M107" i="1" s="1"/>
  <c r="K107" i="1"/>
  <c r="L384" i="1"/>
  <c r="M384" i="1" s="1"/>
  <c r="K384" i="1"/>
  <c r="L253" i="1"/>
  <c r="M253" i="1" s="1"/>
  <c r="K253" i="1"/>
  <c r="L180" i="1"/>
  <c r="M180" i="1" s="1"/>
  <c r="K180" i="1"/>
  <c r="L146" i="1"/>
  <c r="M146" i="1" s="1"/>
  <c r="K146" i="1"/>
  <c r="L65" i="1"/>
  <c r="M65" i="1" s="1"/>
  <c r="K65" i="1"/>
  <c r="L55" i="1"/>
  <c r="M55" i="1" s="1"/>
  <c r="K55" i="1"/>
  <c r="L343" i="1"/>
  <c r="M343" i="1" s="1"/>
  <c r="K343" i="1"/>
  <c r="L269" i="1"/>
  <c r="M269" i="1" s="1"/>
  <c r="K269" i="1"/>
  <c r="L19" i="1"/>
  <c r="M19" i="1" s="1"/>
  <c r="K19" i="1"/>
  <c r="L186" i="1"/>
  <c r="M186" i="1" s="1"/>
  <c r="K186" i="1"/>
  <c r="L78" i="1"/>
  <c r="M78" i="1" s="1"/>
  <c r="K78" i="1"/>
  <c r="L194" i="1"/>
  <c r="M194" i="1" s="1"/>
  <c r="K194" i="1"/>
  <c r="L161" i="1"/>
  <c r="M161" i="1" s="1"/>
  <c r="K161" i="1"/>
  <c r="L124" i="1"/>
  <c r="M124" i="1" s="1"/>
  <c r="K124" i="1"/>
  <c r="L18" i="1"/>
  <c r="M18" i="1" s="1"/>
  <c r="K18" i="1"/>
  <c r="L281" i="1"/>
  <c r="M281" i="1" s="1"/>
  <c r="K281" i="1"/>
  <c r="L215" i="1"/>
  <c r="M215" i="1" s="1"/>
  <c r="K215" i="1"/>
  <c r="L32" i="1"/>
  <c r="M32" i="1" s="1"/>
  <c r="K32" i="1"/>
  <c r="L372" i="1"/>
  <c r="M372" i="1" s="1"/>
  <c r="K372" i="1"/>
  <c r="L245" i="1"/>
  <c r="M245" i="1" s="1"/>
  <c r="K245" i="1"/>
  <c r="L351" i="1"/>
  <c r="M351" i="1" s="1"/>
  <c r="K351" i="1"/>
  <c r="L149" i="1"/>
  <c r="M149" i="1" s="1"/>
  <c r="K149" i="1"/>
  <c r="L179" i="1"/>
  <c r="M179" i="1" s="1"/>
  <c r="K179" i="1"/>
  <c r="L13" i="1"/>
  <c r="M13" i="1" s="1"/>
  <c r="K13" i="1"/>
  <c r="L357" i="1"/>
  <c r="M357" i="1" s="1"/>
  <c r="K357" i="1"/>
  <c r="L260" i="1"/>
  <c r="M260" i="1" s="1"/>
  <c r="K260" i="1"/>
  <c r="L339" i="1"/>
  <c r="M339" i="1" s="1"/>
  <c r="K339" i="1"/>
  <c r="L17" i="1"/>
  <c r="M17" i="1" s="1"/>
  <c r="K17" i="1"/>
  <c r="L382" i="1"/>
  <c r="M382" i="1" s="1"/>
  <c r="K382" i="1"/>
  <c r="L247" i="1"/>
  <c r="M247" i="1" s="1"/>
  <c r="K247" i="1"/>
  <c r="L283" i="1"/>
  <c r="M283" i="1" s="1"/>
  <c r="K283" i="1"/>
  <c r="L300" i="1"/>
  <c r="M300" i="1" s="1"/>
  <c r="K300" i="1"/>
  <c r="L206" i="1"/>
  <c r="M206" i="1" s="1"/>
  <c r="K206" i="1"/>
  <c r="L322" i="1"/>
  <c r="M322" i="1" s="1"/>
  <c r="K322" i="1"/>
  <c r="L299" i="1"/>
  <c r="M299" i="1" s="1"/>
  <c r="K299" i="1"/>
  <c r="L41" i="1"/>
  <c r="M41" i="1" s="1"/>
  <c r="K41" i="1"/>
  <c r="L352" i="1"/>
  <c r="M352" i="1" s="1"/>
  <c r="K352" i="1"/>
  <c r="L347" i="1"/>
  <c r="M347" i="1" s="1"/>
  <c r="K347" i="1"/>
  <c r="L286" i="1"/>
  <c r="M286" i="1" s="1"/>
  <c r="K286" i="1"/>
  <c r="L26" i="1"/>
  <c r="M26" i="1" s="1"/>
  <c r="K26" i="1"/>
  <c r="L210" i="1"/>
  <c r="M210" i="1" s="1"/>
  <c r="K210" i="1"/>
  <c r="L178" i="1"/>
  <c r="M178" i="1" s="1"/>
  <c r="K178" i="1"/>
  <c r="L246" i="1"/>
  <c r="M246" i="1" s="1"/>
  <c r="K246" i="1"/>
  <c r="L366" i="1"/>
  <c r="M366" i="1" s="1"/>
  <c r="K366" i="1"/>
  <c r="L380" i="1"/>
  <c r="M380" i="1" s="1"/>
  <c r="K380" i="1"/>
  <c r="L367" i="1"/>
  <c r="M367" i="1" s="1"/>
  <c r="K367" i="1"/>
  <c r="L75" i="1"/>
  <c r="M75" i="1" s="1"/>
  <c r="K75" i="1"/>
  <c r="L288" i="1"/>
  <c r="M288" i="1" s="1"/>
  <c r="K288" i="1"/>
  <c r="L312" i="1"/>
  <c r="M312" i="1" s="1"/>
  <c r="K312" i="1"/>
  <c r="L294" i="1"/>
  <c r="M294" i="1" s="1"/>
  <c r="K294" i="1"/>
  <c r="L280" i="1"/>
  <c r="M280" i="1" s="1"/>
  <c r="K280" i="1"/>
  <c r="L29" i="1"/>
  <c r="M29" i="1" s="1"/>
  <c r="K29" i="1"/>
  <c r="L289" i="1"/>
  <c r="M289" i="1" s="1"/>
  <c r="K289" i="1"/>
  <c r="L240" i="1"/>
  <c r="M240" i="1" s="1"/>
  <c r="K240" i="1"/>
  <c r="L385" i="1"/>
  <c r="M385" i="1" s="1"/>
  <c r="K385" i="1"/>
  <c r="L171" i="1"/>
  <c r="M171" i="1" s="1"/>
  <c r="K171" i="1"/>
  <c r="L160" i="1"/>
  <c r="M160" i="1" s="1"/>
  <c r="K160" i="1"/>
  <c r="L11" i="1"/>
  <c r="M11" i="1" s="1"/>
  <c r="K11" i="1"/>
  <c r="L209" i="1"/>
  <c r="M209" i="1" s="1"/>
  <c r="K209" i="1"/>
  <c r="L121" i="1"/>
  <c r="M121" i="1" s="1"/>
  <c r="K121" i="1"/>
  <c r="L272" i="1"/>
  <c r="M272" i="1" s="1"/>
  <c r="K272" i="1"/>
  <c r="L258" i="1"/>
  <c r="M258" i="1" s="1"/>
  <c r="K258" i="1"/>
  <c r="L198" i="1"/>
  <c r="M198" i="1" s="1"/>
  <c r="K198" i="1"/>
  <c r="L207" i="1"/>
  <c r="M207" i="1" s="1"/>
  <c r="K207" i="1"/>
  <c r="L353" i="1"/>
  <c r="M353" i="1" s="1"/>
  <c r="K353" i="1"/>
  <c r="L129" i="1"/>
  <c r="M129" i="1" s="1"/>
  <c r="K129" i="1"/>
  <c r="L327" i="1"/>
  <c r="M327" i="1" s="1"/>
  <c r="K327" i="1"/>
  <c r="L98" i="1"/>
  <c r="M98" i="1" s="1"/>
  <c r="K98" i="1"/>
  <c r="L91" i="1"/>
  <c r="M91" i="1" s="1"/>
  <c r="K91" i="1"/>
  <c r="L166" i="1"/>
  <c r="M166" i="1" s="1"/>
  <c r="K166" i="1"/>
  <c r="L219" i="1"/>
  <c r="M219" i="1" s="1"/>
  <c r="K219" i="1"/>
  <c r="L126" i="1"/>
  <c r="M126" i="1" s="1"/>
  <c r="K126" i="1"/>
  <c r="L106" i="1"/>
  <c r="M106" i="1" s="1"/>
  <c r="K106" i="1"/>
  <c r="L159" i="1"/>
  <c r="M159" i="1" s="1"/>
  <c r="K159" i="1"/>
  <c r="L61" i="1"/>
  <c r="M61" i="1" s="1"/>
  <c r="K61" i="1"/>
  <c r="L350" i="1"/>
  <c r="M350" i="1" s="1"/>
  <c r="K350" i="1"/>
  <c r="L235" i="1"/>
  <c r="M235" i="1" s="1"/>
  <c r="K235" i="1"/>
  <c r="L33" i="1"/>
  <c r="M33" i="1" s="1"/>
  <c r="K33" i="1"/>
  <c r="L389" i="1"/>
  <c r="M389" i="1" s="1"/>
  <c r="K389" i="1"/>
  <c r="L87" i="1"/>
  <c r="M87" i="1" s="1"/>
  <c r="K87" i="1"/>
  <c r="L314" i="1"/>
  <c r="M314" i="1" s="1"/>
  <c r="K314" i="1"/>
  <c r="L250" i="1"/>
  <c r="M250" i="1" s="1"/>
  <c r="K250" i="1"/>
  <c r="L378" i="1"/>
  <c r="M378" i="1" s="1"/>
  <c r="K378" i="1"/>
  <c r="L254" i="1"/>
  <c r="M254" i="1" s="1"/>
  <c r="K254" i="1"/>
  <c r="L76" i="1"/>
  <c r="M76" i="1" s="1"/>
  <c r="K76" i="1"/>
  <c r="L342" i="1"/>
  <c r="M342" i="1" s="1"/>
  <c r="K342" i="1"/>
  <c r="L165" i="1"/>
  <c r="M165" i="1" s="1"/>
  <c r="K165" i="1"/>
  <c r="L139" i="1"/>
  <c r="M139" i="1" s="1"/>
  <c r="K139" i="1"/>
  <c r="L34" i="1"/>
  <c r="M34" i="1" s="1"/>
  <c r="K34" i="1"/>
  <c r="L217" i="1"/>
  <c r="M217" i="1" s="1"/>
  <c r="K217" i="1"/>
  <c r="L211" i="1"/>
  <c r="M211" i="1" s="1"/>
  <c r="K211" i="1"/>
  <c r="L127" i="1"/>
  <c r="M127" i="1" s="1"/>
  <c r="K127" i="1"/>
  <c r="L304" i="1"/>
  <c r="M304" i="1" s="1"/>
  <c r="K304" i="1"/>
  <c r="L35" i="1"/>
  <c r="M35" i="1" s="1"/>
  <c r="K35" i="1"/>
  <c r="L293" i="1"/>
  <c r="M293" i="1" s="1"/>
  <c r="K293" i="1"/>
  <c r="L316" i="1"/>
  <c r="M316" i="1" s="1"/>
  <c r="K316" i="1"/>
  <c r="L99" i="1"/>
  <c r="M99" i="1" s="1"/>
  <c r="K99" i="1"/>
  <c r="L306" i="1"/>
  <c r="M306" i="1" s="1"/>
  <c r="K306" i="1"/>
  <c r="L248" i="1"/>
  <c r="M248" i="1" s="1"/>
  <c r="K248" i="1"/>
  <c r="L224" i="1"/>
  <c r="M224" i="1" s="1"/>
  <c r="K224" i="1"/>
  <c r="L328" i="1"/>
  <c r="M328" i="1" s="1"/>
  <c r="K328" i="1"/>
  <c r="L12" i="1"/>
  <c r="M12" i="1" s="1"/>
  <c r="K12" i="1"/>
  <c r="L31" i="1"/>
  <c r="M31" i="1" s="1"/>
  <c r="K31" i="1"/>
  <c r="L96" i="1"/>
  <c r="M96" i="1" s="1"/>
  <c r="K96" i="1"/>
  <c r="L57" i="1"/>
  <c r="M57" i="1" s="1"/>
  <c r="K57" i="1"/>
  <c r="L84" i="1"/>
  <c r="M84" i="1" s="1"/>
  <c r="K84" i="1"/>
  <c r="L43" i="1"/>
  <c r="M43" i="1" s="1"/>
  <c r="K43" i="1"/>
  <c r="L244" i="1"/>
  <c r="M244" i="1" s="1"/>
  <c r="K244" i="1"/>
  <c r="L120" i="1"/>
  <c r="M120" i="1" s="1"/>
  <c r="K120" i="1"/>
  <c r="L381" i="1"/>
  <c r="M381" i="1" s="1"/>
  <c r="K381" i="1"/>
  <c r="L257" i="1"/>
  <c r="M257" i="1" s="1"/>
  <c r="K257" i="1"/>
  <c r="L185" i="1"/>
  <c r="M185" i="1" s="1"/>
  <c r="K185" i="1"/>
  <c r="L308" i="1"/>
  <c r="M308" i="1" s="1"/>
  <c r="K308" i="1"/>
  <c r="L238" i="1"/>
  <c r="M238" i="1" s="1"/>
  <c r="K238" i="1"/>
  <c r="L212" i="1"/>
  <c r="M212" i="1" s="1"/>
  <c r="K212" i="1"/>
  <c r="L216" i="1"/>
  <c r="M216" i="1" s="1"/>
  <c r="K216" i="1"/>
  <c r="L168" i="1"/>
  <c r="M168" i="1" s="1"/>
  <c r="K168" i="1"/>
  <c r="L140" i="1"/>
  <c r="M140" i="1" s="1"/>
  <c r="K140" i="1"/>
  <c r="L249" i="1"/>
  <c r="M249" i="1" s="1"/>
  <c r="K249" i="1"/>
  <c r="L369" i="1"/>
  <c r="M369" i="1" s="1"/>
  <c r="K369" i="1"/>
  <c r="L242" i="1"/>
  <c r="M242" i="1" s="1"/>
  <c r="K242" i="1"/>
  <c r="L71" i="1"/>
  <c r="M71" i="1" s="1"/>
  <c r="K71" i="1"/>
  <c r="L119" i="1"/>
  <c r="M119" i="1" s="1"/>
  <c r="K119" i="1"/>
  <c r="L241" i="1"/>
  <c r="M241" i="1" s="1"/>
  <c r="K241" i="1"/>
  <c r="L172" i="1"/>
  <c r="M172" i="1" s="1"/>
  <c r="K172" i="1"/>
  <c r="L4" i="1"/>
  <c r="M4" i="1" s="1"/>
  <c r="K4" i="1"/>
  <c r="L295" i="1"/>
  <c r="M295" i="1" s="1"/>
  <c r="K295" i="1"/>
  <c r="L6" i="1"/>
  <c r="M6" i="1" s="1"/>
  <c r="K6" i="1"/>
  <c r="L251" i="1"/>
  <c r="M251" i="1" s="1"/>
  <c r="K251" i="1"/>
  <c r="L255" i="1"/>
  <c r="M255" i="1" s="1"/>
  <c r="K255" i="1"/>
  <c r="J255" i="1"/>
  <c r="L376" i="1"/>
  <c r="M376" i="1" s="1"/>
  <c r="K376" i="1"/>
  <c r="J376" i="1"/>
  <c r="J1" i="1"/>
  <c r="E3" i="4"/>
  <c r="E4" i="4"/>
  <c r="E5" i="4"/>
  <c r="E6" i="4"/>
  <c r="E7" i="4"/>
  <c r="E8" i="4"/>
  <c r="E9" i="4"/>
  <c r="E10" i="4"/>
  <c r="E11" i="4"/>
  <c r="E12" i="4"/>
  <c r="E2" i="4"/>
  <c r="D12" i="4"/>
  <c r="D11" i="4"/>
  <c r="D10" i="4"/>
  <c r="D9" i="4"/>
  <c r="D8" i="4"/>
  <c r="D7" i="4"/>
  <c r="D6" i="4"/>
  <c r="D5" i="4"/>
  <c r="D4" i="4"/>
  <c r="D3" i="4"/>
  <c r="D2" i="4"/>
  <c r="B13" i="4"/>
  <c r="B3" i="3" l="1"/>
  <c r="B2" i="3"/>
</calcChain>
</file>

<file path=xl/comments1.xml><?xml version="1.0" encoding="utf-8"?>
<comments xmlns="http://schemas.openxmlformats.org/spreadsheetml/2006/main">
  <authors>
    <author>Alvarez Rodriguez, Bayron David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Alvarez Rodriguez, Bayron David:</t>
        </r>
        <r>
          <rPr>
            <sz val="9"/>
            <color indexed="81"/>
            <rFont val="Tahoma"/>
            <family val="2"/>
          </rPr>
          <t xml:space="preserve">
Información para el uso de la macro, no relevante para el usuario final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Alvarez Rodriguez, Bayron David:</t>
        </r>
        <r>
          <rPr>
            <sz val="9"/>
            <color indexed="81"/>
            <rFont val="Tahoma"/>
            <family val="2"/>
          </rPr>
          <t xml:space="preserve">
Información para el uso de la macro, no relevante para el usuario final</t>
        </r>
      </text>
    </comment>
  </commentList>
</comments>
</file>

<file path=xl/sharedStrings.xml><?xml version="1.0" encoding="utf-8"?>
<sst xmlns="http://schemas.openxmlformats.org/spreadsheetml/2006/main" count="4259" uniqueCount="835">
  <si>
    <t xml:space="preserve">  13679252</t>
  </si>
  <si>
    <t>6123471326</t>
  </si>
  <si>
    <t>EG</t>
  </si>
  <si>
    <t>48111</t>
  </si>
  <si>
    <t xml:space="preserve">  13747579</t>
  </si>
  <si>
    <t>6144840330</t>
  </si>
  <si>
    <t xml:space="preserve">  13758241</t>
  </si>
  <si>
    <t>6146113317</t>
  </si>
  <si>
    <t xml:space="preserve">  13774915</t>
  </si>
  <si>
    <t>6153211314</t>
  </si>
  <si>
    <t xml:space="preserve">  13807833</t>
  </si>
  <si>
    <t>6162378304</t>
  </si>
  <si>
    <t xml:space="preserve">  13879908</t>
  </si>
  <si>
    <t>6187737332</t>
  </si>
  <si>
    <t xml:space="preserve">  13920029</t>
  </si>
  <si>
    <t>6197154334</t>
  </si>
  <si>
    <t xml:space="preserve">  13920891</t>
  </si>
  <si>
    <t>6197165306</t>
  </si>
  <si>
    <t xml:space="preserve">  13970848</t>
  </si>
  <si>
    <t>6214454309</t>
  </si>
  <si>
    <t xml:space="preserve">  14000831</t>
  </si>
  <si>
    <t>6223622322</t>
  </si>
  <si>
    <t xml:space="preserve">  14000834</t>
  </si>
  <si>
    <t>6223622324</t>
  </si>
  <si>
    <t xml:space="preserve">  14000843</t>
  </si>
  <si>
    <t>6223622329</t>
  </si>
  <si>
    <t xml:space="preserve">  14006193</t>
  </si>
  <si>
    <t>6224659322</t>
  </si>
  <si>
    <t xml:space="preserve">  14028635</t>
  </si>
  <si>
    <t>6231769311</t>
  </si>
  <si>
    <t xml:space="preserve">  14032653</t>
  </si>
  <si>
    <t>6232792307</t>
  </si>
  <si>
    <t xml:space="preserve">  14032655</t>
  </si>
  <si>
    <t>6232792308</t>
  </si>
  <si>
    <t xml:space="preserve">  14032667</t>
  </si>
  <si>
    <t>6232792315</t>
  </si>
  <si>
    <t xml:space="preserve">  14032668</t>
  </si>
  <si>
    <t>6232792316</t>
  </si>
  <si>
    <t xml:space="preserve">  14033516</t>
  </si>
  <si>
    <t>6232798325</t>
  </si>
  <si>
    <t xml:space="preserve">  14039397</t>
  </si>
  <si>
    <t>6235834329</t>
  </si>
  <si>
    <t xml:space="preserve">  14039907</t>
  </si>
  <si>
    <t>6235844321</t>
  </si>
  <si>
    <t xml:space="preserve">  14039898</t>
  </si>
  <si>
    <t>6235844318</t>
  </si>
  <si>
    <t xml:space="preserve">  14039683</t>
  </si>
  <si>
    <t>6235840333</t>
  </si>
  <si>
    <t xml:space="preserve">  14039885</t>
  </si>
  <si>
    <t>6235844310</t>
  </si>
  <si>
    <t xml:space="preserve">  14039888</t>
  </si>
  <si>
    <t>6235844312</t>
  </si>
  <si>
    <t xml:space="preserve">  14039921</t>
  </si>
  <si>
    <t>6235844327</t>
  </si>
  <si>
    <t xml:space="preserve">  14039937</t>
  </si>
  <si>
    <t>6235844332</t>
  </si>
  <si>
    <t xml:space="preserve">  14039942</t>
  </si>
  <si>
    <t>6235844334</t>
  </si>
  <si>
    <t xml:space="preserve">  14039943</t>
  </si>
  <si>
    <t>6235844335</t>
  </si>
  <si>
    <t xml:space="preserve">  14065482</t>
  </si>
  <si>
    <t>6243198335</t>
  </si>
  <si>
    <t xml:space="preserve">  14065494</t>
  </si>
  <si>
    <t>6243198338</t>
  </si>
  <si>
    <t xml:space="preserve">  14065491</t>
  </si>
  <si>
    <t>6243198337</t>
  </si>
  <si>
    <t xml:space="preserve">  14065486</t>
  </si>
  <si>
    <t>6243198336</t>
  </si>
  <si>
    <t xml:space="preserve">  14065907</t>
  </si>
  <si>
    <t>6243206332</t>
  </si>
  <si>
    <t xml:space="preserve">  14069441</t>
  </si>
  <si>
    <t>6244215337</t>
  </si>
  <si>
    <t xml:space="preserve">  14076152</t>
  </si>
  <si>
    <t>6246261321</t>
  </si>
  <si>
    <t xml:space="preserve">  14079653</t>
  </si>
  <si>
    <t>6249287319</t>
  </si>
  <si>
    <t xml:space="preserve">  14116741</t>
  </si>
  <si>
    <t>6259467340</t>
  </si>
  <si>
    <t xml:space="preserve">  14116743</t>
  </si>
  <si>
    <t>6259468302</t>
  </si>
  <si>
    <t xml:space="preserve">  14116751</t>
  </si>
  <si>
    <t>6259468310</t>
  </si>
  <si>
    <t xml:space="preserve">  14116769</t>
  </si>
  <si>
    <t>6259468328</t>
  </si>
  <si>
    <t xml:space="preserve">  14116772</t>
  </si>
  <si>
    <t>6259468331</t>
  </si>
  <si>
    <t xml:space="preserve">  14117449</t>
  </si>
  <si>
    <t>6259477313</t>
  </si>
  <si>
    <t xml:space="preserve">  14117480</t>
  </si>
  <si>
    <t>6259477335</t>
  </si>
  <si>
    <t xml:space="preserve">  14155010</t>
  </si>
  <si>
    <t>6271719303</t>
  </si>
  <si>
    <t xml:space="preserve">  14154823</t>
  </si>
  <si>
    <t>6271716323</t>
  </si>
  <si>
    <t xml:space="preserve">  14155017</t>
  </si>
  <si>
    <t>6271719306</t>
  </si>
  <si>
    <t xml:space="preserve">  14155027</t>
  </si>
  <si>
    <t>6271719309</t>
  </si>
  <si>
    <t xml:space="preserve">  14155040</t>
  </si>
  <si>
    <t>6271719315</t>
  </si>
  <si>
    <t xml:space="preserve">  14155031</t>
  </si>
  <si>
    <t>6271719311</t>
  </si>
  <si>
    <t xml:space="preserve">  14155056</t>
  </si>
  <si>
    <t>6271719320</t>
  </si>
  <si>
    <t xml:space="preserve">  14155104</t>
  </si>
  <si>
    <t>6271719338</t>
  </si>
  <si>
    <t xml:space="preserve">  14155066</t>
  </si>
  <si>
    <t>6271719323</t>
  </si>
  <si>
    <t xml:space="preserve">  14155084</t>
  </si>
  <si>
    <t>6271719330</t>
  </si>
  <si>
    <t xml:space="preserve">  14155085</t>
  </si>
  <si>
    <t>6271719331</t>
  </si>
  <si>
    <t xml:space="preserve">  14155107</t>
  </si>
  <si>
    <t>6271719339</t>
  </si>
  <si>
    <t xml:space="preserve">  14167663</t>
  </si>
  <si>
    <t>6274784333</t>
  </si>
  <si>
    <t xml:space="preserve">  14171482</t>
  </si>
  <si>
    <t>6277794302</t>
  </si>
  <si>
    <t xml:space="preserve">  14171941</t>
  </si>
  <si>
    <t>6277800338</t>
  </si>
  <si>
    <t xml:space="preserve">  14179800</t>
  </si>
  <si>
    <t>6279836330</t>
  </si>
  <si>
    <t xml:space="preserve">  14179806</t>
  </si>
  <si>
    <t>6279836336</t>
  </si>
  <si>
    <t xml:space="preserve">  14179812</t>
  </si>
  <si>
    <t>6279837302</t>
  </si>
  <si>
    <t xml:space="preserve">  14180455</t>
  </si>
  <si>
    <t>6279847321</t>
  </si>
  <si>
    <t xml:space="preserve">  14180415</t>
  </si>
  <si>
    <t>6279847303</t>
  </si>
  <si>
    <t xml:space="preserve">  14195081</t>
  </si>
  <si>
    <t>6284137312</t>
  </si>
  <si>
    <t xml:space="preserve">  14205577</t>
  </si>
  <si>
    <t>6287180301</t>
  </si>
  <si>
    <t xml:space="preserve">  14206106</t>
  </si>
  <si>
    <t>6287187336</t>
  </si>
  <si>
    <t xml:space="preserve">  14206171</t>
  </si>
  <si>
    <t>6287188321</t>
  </si>
  <si>
    <t xml:space="preserve">  14246342</t>
  </si>
  <si>
    <t>6299408338</t>
  </si>
  <si>
    <t xml:space="preserve">  14249544</t>
  </si>
  <si>
    <t>6300412318</t>
  </si>
  <si>
    <t xml:space="preserve">  14253462</t>
  </si>
  <si>
    <t>6301441325</t>
  </si>
  <si>
    <t xml:space="preserve">  14253452</t>
  </si>
  <si>
    <t>6301441322</t>
  </si>
  <si>
    <t xml:space="preserve">  14253492</t>
  </si>
  <si>
    <t>6301441333</t>
  </si>
  <si>
    <t xml:space="preserve">  14253497</t>
  </si>
  <si>
    <t>6301441334</t>
  </si>
  <si>
    <t xml:space="preserve">  14253504</t>
  </si>
  <si>
    <t>6301441336</t>
  </si>
  <si>
    <t xml:space="preserve">  14253537</t>
  </si>
  <si>
    <t>6301445302</t>
  </si>
  <si>
    <t xml:space="preserve">  14253554</t>
  </si>
  <si>
    <t>6301445307</t>
  </si>
  <si>
    <t xml:space="preserve">  14253556</t>
  </si>
  <si>
    <t>6301445308</t>
  </si>
  <si>
    <t xml:space="preserve">  14279996</t>
  </si>
  <si>
    <t>6309608320</t>
  </si>
  <si>
    <t xml:space="preserve">  14279890</t>
  </si>
  <si>
    <t>6309608301</t>
  </si>
  <si>
    <t xml:space="preserve">  14279898</t>
  </si>
  <si>
    <t>6309608303</t>
  </si>
  <si>
    <t xml:space="preserve">  14279912</t>
  </si>
  <si>
    <t>6309608307</t>
  </si>
  <si>
    <t xml:space="preserve">  14279941</t>
  </si>
  <si>
    <t>6309608310</t>
  </si>
  <si>
    <t xml:space="preserve">  14279942</t>
  </si>
  <si>
    <t>6309608311</t>
  </si>
  <si>
    <t xml:space="preserve">  14279940</t>
  </si>
  <si>
    <t>6309608309</t>
  </si>
  <si>
    <t xml:space="preserve">  14279969</t>
  </si>
  <si>
    <t>6309608316</t>
  </si>
  <si>
    <t xml:space="preserve">  14279971</t>
  </si>
  <si>
    <t>6309608317</t>
  </si>
  <si>
    <t xml:space="preserve">  14279988</t>
  </si>
  <si>
    <t>6309608318</t>
  </si>
  <si>
    <t xml:space="preserve">  14280048</t>
  </si>
  <si>
    <t>6309608333</t>
  </si>
  <si>
    <t xml:space="preserve">  14280017</t>
  </si>
  <si>
    <t>6309608325</t>
  </si>
  <si>
    <t xml:space="preserve">  14280020</t>
  </si>
  <si>
    <t>6309608326</t>
  </si>
  <si>
    <t xml:space="preserve">  14280023</t>
  </si>
  <si>
    <t>6309608327</t>
  </si>
  <si>
    <t xml:space="preserve">  14280040</t>
  </si>
  <si>
    <t>6309608329</t>
  </si>
  <si>
    <t xml:space="preserve">  14280050</t>
  </si>
  <si>
    <t>6309608334</t>
  </si>
  <si>
    <t xml:space="preserve">  14280051</t>
  </si>
  <si>
    <t>6309608335</t>
  </si>
  <si>
    <t xml:space="preserve">  14280069</t>
  </si>
  <si>
    <t>6309608336</t>
  </si>
  <si>
    <t xml:space="preserve">  14280071</t>
  </si>
  <si>
    <t>6309608337</t>
  </si>
  <si>
    <t xml:space="preserve">  14290838</t>
  </si>
  <si>
    <t>6313645336</t>
  </si>
  <si>
    <t xml:space="preserve">  14294066</t>
  </si>
  <si>
    <t>6314655321</t>
  </si>
  <si>
    <t xml:space="preserve">  14294085</t>
  </si>
  <si>
    <t>6314655328</t>
  </si>
  <si>
    <t xml:space="preserve">  14294088</t>
  </si>
  <si>
    <t>6314655330</t>
  </si>
  <si>
    <t xml:space="preserve">  14294093</t>
  </si>
  <si>
    <t>6314655332</t>
  </si>
  <si>
    <t xml:space="preserve">  14294094</t>
  </si>
  <si>
    <t>6314655333</t>
  </si>
  <si>
    <t xml:space="preserve">  14294095</t>
  </si>
  <si>
    <t>6314655334</t>
  </si>
  <si>
    <t xml:space="preserve">  14294103</t>
  </si>
  <si>
    <t>6314655340</t>
  </si>
  <si>
    <t xml:space="preserve">  14294097</t>
  </si>
  <si>
    <t>6314655336</t>
  </si>
  <si>
    <t xml:space="preserve">  14294098</t>
  </si>
  <si>
    <t>6314655337</t>
  </si>
  <si>
    <t xml:space="preserve">  14294101</t>
  </si>
  <si>
    <t>6314655339</t>
  </si>
  <si>
    <t xml:space="preserve">  14294107</t>
  </si>
  <si>
    <t>6314656301</t>
  </si>
  <si>
    <t xml:space="preserve">  14294115</t>
  </si>
  <si>
    <t>6314656303</t>
  </si>
  <si>
    <t xml:space="preserve">  14294116</t>
  </si>
  <si>
    <t>6314656304</t>
  </si>
  <si>
    <t xml:space="preserve">  14294117</t>
  </si>
  <si>
    <t>6314656305</t>
  </si>
  <si>
    <t xml:space="preserve">  14294119</t>
  </si>
  <si>
    <t>6314656307</t>
  </si>
  <si>
    <t xml:space="preserve">  14294120</t>
  </si>
  <si>
    <t>6314656308</t>
  </si>
  <si>
    <t xml:space="preserve">  14294121</t>
  </si>
  <si>
    <t>6314656309</t>
  </si>
  <si>
    <t xml:space="preserve">  14294122</t>
  </si>
  <si>
    <t>6314656310</t>
  </si>
  <si>
    <t xml:space="preserve">  14294137</t>
  </si>
  <si>
    <t>6314656316</t>
  </si>
  <si>
    <t xml:space="preserve">  14294124</t>
  </si>
  <si>
    <t>6314656312</t>
  </si>
  <si>
    <t xml:space="preserve">  14294125</t>
  </si>
  <si>
    <t>6314656313</t>
  </si>
  <si>
    <t xml:space="preserve">  14294133</t>
  </si>
  <si>
    <t>6314656315</t>
  </si>
  <si>
    <t xml:space="preserve">  14294146</t>
  </si>
  <si>
    <t>6314656319</t>
  </si>
  <si>
    <t xml:space="preserve">  14311919</t>
  </si>
  <si>
    <t>6320740326</t>
  </si>
  <si>
    <t xml:space="preserve">  14316483</t>
  </si>
  <si>
    <t>6321771330</t>
  </si>
  <si>
    <t xml:space="preserve">  14316864</t>
  </si>
  <si>
    <t>6321777335</t>
  </si>
  <si>
    <t xml:space="preserve">  14316761</t>
  </si>
  <si>
    <t>6321775333</t>
  </si>
  <si>
    <t xml:space="preserve">  14316819</t>
  </si>
  <si>
    <t>6321777309</t>
  </si>
  <si>
    <t xml:space="preserve">  14316826</t>
  </si>
  <si>
    <t>6321777313</t>
  </si>
  <si>
    <t xml:space="preserve">  14316839</t>
  </si>
  <si>
    <t>6321777323</t>
  </si>
  <si>
    <t xml:space="preserve">  14316851</t>
  </si>
  <si>
    <t>6321777328</t>
  </si>
  <si>
    <t xml:space="preserve">  14316853</t>
  </si>
  <si>
    <t>6321777330</t>
  </si>
  <si>
    <t xml:space="preserve">  14317223</t>
  </si>
  <si>
    <t>6321784331</t>
  </si>
  <si>
    <t xml:space="preserve">  14323849</t>
  </si>
  <si>
    <t>6323807308</t>
  </si>
  <si>
    <t xml:space="preserve">  14325541</t>
  </si>
  <si>
    <t>6323830323</t>
  </si>
  <si>
    <t xml:space="preserve">  14338884</t>
  </si>
  <si>
    <t>6328893320</t>
  </si>
  <si>
    <t xml:space="preserve">  14338653</t>
  </si>
  <si>
    <t>6328891336</t>
  </si>
  <si>
    <t xml:space="preserve">  14342279</t>
  </si>
  <si>
    <t>6329122313</t>
  </si>
  <si>
    <t xml:space="preserve">  14364119</t>
  </si>
  <si>
    <t>6337255316</t>
  </si>
  <si>
    <t xml:space="preserve">  14364468</t>
  </si>
  <si>
    <t>6337263326</t>
  </si>
  <si>
    <t xml:space="preserve">  14407543</t>
  </si>
  <si>
    <t>6350490332</t>
  </si>
  <si>
    <t xml:space="preserve">  14407546</t>
  </si>
  <si>
    <t>6350490333</t>
  </si>
  <si>
    <t xml:space="preserve">  14411384</t>
  </si>
  <si>
    <t>6351519338</t>
  </si>
  <si>
    <t xml:space="preserve">  14411423</t>
  </si>
  <si>
    <t>6351520310</t>
  </si>
  <si>
    <t xml:space="preserve">  14411450</t>
  </si>
  <si>
    <t>6351520318</t>
  </si>
  <si>
    <t xml:space="preserve">  14411482</t>
  </si>
  <si>
    <t>6351520332</t>
  </si>
  <si>
    <t xml:space="preserve">  14411542</t>
  </si>
  <si>
    <t>6351522308</t>
  </si>
  <si>
    <t xml:space="preserve">  14411553</t>
  </si>
  <si>
    <t>6351522316</t>
  </si>
  <si>
    <t xml:space="preserve">  14411550</t>
  </si>
  <si>
    <t>6351522314</t>
  </si>
  <si>
    <t xml:space="preserve">  14411558</t>
  </si>
  <si>
    <t>6351522318</t>
  </si>
  <si>
    <t xml:space="preserve">  14411566</t>
  </si>
  <si>
    <t>6351522320</t>
  </si>
  <si>
    <t xml:space="preserve">  14411579</t>
  </si>
  <si>
    <t>6351522324</t>
  </si>
  <si>
    <t xml:space="preserve">  14411593</t>
  </si>
  <si>
    <t>6351522328</t>
  </si>
  <si>
    <t xml:space="preserve">  14411574</t>
  </si>
  <si>
    <t>6351522322</t>
  </si>
  <si>
    <t xml:space="preserve">  14411610</t>
  </si>
  <si>
    <t>6351522332</t>
  </si>
  <si>
    <t xml:space="preserve">  14411620</t>
  </si>
  <si>
    <t>6351522336</t>
  </si>
  <si>
    <t xml:space="preserve">  14411629</t>
  </si>
  <si>
    <t>6351521334</t>
  </si>
  <si>
    <t xml:space="preserve">  14411623</t>
  </si>
  <si>
    <t>6351521330</t>
  </si>
  <si>
    <t xml:space="preserve">  14411627</t>
  </si>
  <si>
    <t>6351521333</t>
  </si>
  <si>
    <t xml:space="preserve">  14411632</t>
  </si>
  <si>
    <t>6351521336</t>
  </si>
  <si>
    <t xml:space="preserve">  14411637</t>
  </si>
  <si>
    <t>6351521337</t>
  </si>
  <si>
    <t xml:space="preserve">  14411642</t>
  </si>
  <si>
    <t>6351521338</t>
  </si>
  <si>
    <t xml:space="preserve">  14411772</t>
  </si>
  <si>
    <t>6351525302</t>
  </si>
  <si>
    <t xml:space="preserve">  14411653</t>
  </si>
  <si>
    <t>6351521340</t>
  </si>
  <si>
    <t xml:space="preserve">  14411769</t>
  </si>
  <si>
    <t>6351525301</t>
  </si>
  <si>
    <t xml:space="preserve">  14411790</t>
  </si>
  <si>
    <t>6351525305</t>
  </si>
  <si>
    <t xml:space="preserve">  14411797</t>
  </si>
  <si>
    <t>6351525306</t>
  </si>
  <si>
    <t xml:space="preserve">  14411880</t>
  </si>
  <si>
    <t>6351525319</t>
  </si>
  <si>
    <t xml:space="preserve">  14411893</t>
  </si>
  <si>
    <t>6351525320</t>
  </si>
  <si>
    <t xml:space="preserve">  14411899</t>
  </si>
  <si>
    <t>6351525322</t>
  </si>
  <si>
    <t xml:space="preserve">  14411910</t>
  </si>
  <si>
    <t>6351525323</t>
  </si>
  <si>
    <t xml:space="preserve">  14411940</t>
  </si>
  <si>
    <t>6351525325</t>
  </si>
  <si>
    <t xml:space="preserve">  14411949</t>
  </si>
  <si>
    <t>6351525329</t>
  </si>
  <si>
    <t xml:space="preserve">  14449866</t>
  </si>
  <si>
    <t>6364719319</t>
  </si>
  <si>
    <t xml:space="preserve">  14453427</t>
  </si>
  <si>
    <t>6365748301</t>
  </si>
  <si>
    <t xml:space="preserve">  14453452</t>
  </si>
  <si>
    <t>6365748319</t>
  </si>
  <si>
    <t xml:space="preserve">  14453436</t>
  </si>
  <si>
    <t>6365748307</t>
  </si>
  <si>
    <t xml:space="preserve">  14453438</t>
  </si>
  <si>
    <t>6365748309</t>
  </si>
  <si>
    <t xml:space="preserve">  14453450</t>
  </si>
  <si>
    <t>6365748317</t>
  </si>
  <si>
    <t xml:space="preserve">  14453451</t>
  </si>
  <si>
    <t>6365748318</t>
  </si>
  <si>
    <t xml:space="preserve">  14453455</t>
  </si>
  <si>
    <t>6365748321</t>
  </si>
  <si>
    <t xml:space="preserve">  14453457</t>
  </si>
  <si>
    <t>6365748323</t>
  </si>
  <si>
    <t xml:space="preserve">  14453459</t>
  </si>
  <si>
    <t>6365748324</t>
  </si>
  <si>
    <t xml:space="preserve">  14453462</t>
  </si>
  <si>
    <t>6365748326</t>
  </si>
  <si>
    <t xml:space="preserve">  14453484</t>
  </si>
  <si>
    <t>6365748338</t>
  </si>
  <si>
    <t xml:space="preserve">  14453470</t>
  </si>
  <si>
    <t>6365748331</t>
  </si>
  <si>
    <t xml:space="preserve">  14453477</t>
  </si>
  <si>
    <t>6365748334</t>
  </si>
  <si>
    <t xml:space="preserve">  14453480</t>
  </si>
  <si>
    <t>6365748335</t>
  </si>
  <si>
    <t xml:space="preserve">  14453486</t>
  </si>
  <si>
    <t>6365748340</t>
  </si>
  <si>
    <t xml:space="preserve">  14453487</t>
  </si>
  <si>
    <t>6365749301</t>
  </si>
  <si>
    <t xml:space="preserve">  14453488</t>
  </si>
  <si>
    <t>6365749302</t>
  </si>
  <si>
    <t xml:space="preserve">  14453499</t>
  </si>
  <si>
    <t>6365749309</t>
  </si>
  <si>
    <t xml:space="preserve">  14453493</t>
  </si>
  <si>
    <t>6365749305</t>
  </si>
  <si>
    <t xml:space="preserve">  14453501</t>
  </si>
  <si>
    <t>6365749310</t>
  </si>
  <si>
    <t xml:space="preserve">  14453513</t>
  </si>
  <si>
    <t>6365749317</t>
  </si>
  <si>
    <t xml:space="preserve">  14453508</t>
  </si>
  <si>
    <t>6365749314</t>
  </si>
  <si>
    <t xml:space="preserve">  14453515</t>
  </si>
  <si>
    <t>6365749318</t>
  </si>
  <si>
    <t xml:space="preserve">  14453523</t>
  </si>
  <si>
    <t>6365749323</t>
  </si>
  <si>
    <t xml:space="preserve">  14453532</t>
  </si>
  <si>
    <t>6365749329</t>
  </si>
  <si>
    <t xml:space="preserve">  14453533</t>
  </si>
  <si>
    <t>6365749330</t>
  </si>
  <si>
    <t xml:space="preserve">  14463768</t>
  </si>
  <si>
    <t>7004809328</t>
  </si>
  <si>
    <t xml:space="preserve">  14464459</t>
  </si>
  <si>
    <t>7004813308</t>
  </si>
  <si>
    <t xml:space="preserve">  14488482</t>
  </si>
  <si>
    <t>7012125317</t>
  </si>
  <si>
    <t xml:space="preserve">  14488484</t>
  </si>
  <si>
    <t>7012125318</t>
  </si>
  <si>
    <t xml:space="preserve">  14488505</t>
  </si>
  <si>
    <t>7012125328</t>
  </si>
  <si>
    <t xml:space="preserve">  14488492</t>
  </si>
  <si>
    <t>7012125322</t>
  </si>
  <si>
    <t xml:space="preserve">  14488500</t>
  </si>
  <si>
    <t>7012125325</t>
  </si>
  <si>
    <t xml:space="preserve">  14488504</t>
  </si>
  <si>
    <t>7012125327</t>
  </si>
  <si>
    <t xml:space="preserve">  14488508</t>
  </si>
  <si>
    <t>7012125330</t>
  </si>
  <si>
    <t xml:space="preserve">  14488510</t>
  </si>
  <si>
    <t>7012125331</t>
  </si>
  <si>
    <t xml:space="preserve">  14488514</t>
  </si>
  <si>
    <t>7012125333</t>
  </si>
  <si>
    <t xml:space="preserve">  14488516</t>
  </si>
  <si>
    <t>7012125334</t>
  </si>
  <si>
    <t xml:space="preserve">  14488558</t>
  </si>
  <si>
    <t>7012128304</t>
  </si>
  <si>
    <t xml:space="preserve">  14498813</t>
  </si>
  <si>
    <t>7016187339</t>
  </si>
  <si>
    <t xml:space="preserve">  14512479</t>
  </si>
  <si>
    <t>7019258315</t>
  </si>
  <si>
    <t xml:space="preserve">  14512441</t>
  </si>
  <si>
    <t>7019258302</t>
  </si>
  <si>
    <t xml:space="preserve">  14512438</t>
  </si>
  <si>
    <t>7019258301</t>
  </si>
  <si>
    <t xml:space="preserve">  14512414</t>
  </si>
  <si>
    <t>7019253335</t>
  </si>
  <si>
    <t xml:space="preserve">  14512456</t>
  </si>
  <si>
    <t>7019258307</t>
  </si>
  <si>
    <t xml:space="preserve">  14512459</t>
  </si>
  <si>
    <t>7019258308</t>
  </si>
  <si>
    <t xml:space="preserve">  14512461</t>
  </si>
  <si>
    <t>7019258309</t>
  </si>
  <si>
    <t xml:space="preserve">  14512466</t>
  </si>
  <si>
    <t>7019258312</t>
  </si>
  <si>
    <t xml:space="preserve">  14512470</t>
  </si>
  <si>
    <t>7019258313</t>
  </si>
  <si>
    <t xml:space="preserve">  14512496</t>
  </si>
  <si>
    <t>7019258319</t>
  </si>
  <si>
    <t xml:space="preserve">  14512506</t>
  </si>
  <si>
    <t>7019258322</t>
  </si>
  <si>
    <t xml:space="preserve">  14512530</t>
  </si>
  <si>
    <t>7019258327</t>
  </si>
  <si>
    <t xml:space="preserve">  14512557</t>
  </si>
  <si>
    <t>7019258333</t>
  </si>
  <si>
    <t xml:space="preserve">  14512560</t>
  </si>
  <si>
    <t>7019258334</t>
  </si>
  <si>
    <t xml:space="preserve">  14512565</t>
  </si>
  <si>
    <t>7019258335</t>
  </si>
  <si>
    <t xml:space="preserve">  14512568</t>
  </si>
  <si>
    <t>7019258336</t>
  </si>
  <si>
    <t xml:space="preserve">  14512577</t>
  </si>
  <si>
    <t>7019258338</t>
  </si>
  <si>
    <t xml:space="preserve">  14512581</t>
  </si>
  <si>
    <t>7019258339</t>
  </si>
  <si>
    <t xml:space="preserve">  14512586</t>
  </si>
  <si>
    <t>7019258340</t>
  </si>
  <si>
    <t xml:space="preserve">  14529925</t>
  </si>
  <si>
    <t>7025344307</t>
  </si>
  <si>
    <t xml:space="preserve">  14535081</t>
  </si>
  <si>
    <t>7026373327</t>
  </si>
  <si>
    <t xml:space="preserve">  14560335</t>
  </si>
  <si>
    <t>7034523323</t>
  </si>
  <si>
    <t xml:space="preserve">  14560648</t>
  </si>
  <si>
    <t>7034527333</t>
  </si>
  <si>
    <t xml:space="preserve">  14583607</t>
  </si>
  <si>
    <t>7041643338</t>
  </si>
  <si>
    <t xml:space="preserve">  14592111</t>
  </si>
  <si>
    <t>7044697327</t>
  </si>
  <si>
    <t xml:space="preserve">  14592149</t>
  </si>
  <si>
    <t>7044697338</t>
  </si>
  <si>
    <t xml:space="preserve">  14596044</t>
  </si>
  <si>
    <t>7045711330</t>
  </si>
  <si>
    <t xml:space="preserve">  14599496</t>
  </si>
  <si>
    <t>7046725331</t>
  </si>
  <si>
    <t xml:space="preserve">  14599497</t>
  </si>
  <si>
    <t>7046725332</t>
  </si>
  <si>
    <t xml:space="preserve">  14599502</t>
  </si>
  <si>
    <t>7046725333</t>
  </si>
  <si>
    <t xml:space="preserve">  14599503</t>
  </si>
  <si>
    <t>7046725334</t>
  </si>
  <si>
    <t xml:space="preserve">  14599504</t>
  </si>
  <si>
    <t>7046725335</t>
  </si>
  <si>
    <t xml:space="preserve">  14599515</t>
  </si>
  <si>
    <t>7046725338</t>
  </si>
  <si>
    <t xml:space="preserve">  14599579</t>
  </si>
  <si>
    <t>7046726303</t>
  </si>
  <si>
    <t xml:space="preserve">  14599580</t>
  </si>
  <si>
    <t>7046726304</t>
  </si>
  <si>
    <t xml:space="preserve">  14599581</t>
  </si>
  <si>
    <t>7046726305</t>
  </si>
  <si>
    <t xml:space="preserve">  14599584</t>
  </si>
  <si>
    <t>7046726308</t>
  </si>
  <si>
    <t xml:space="preserve">  14599585</t>
  </si>
  <si>
    <t>7046726309</t>
  </si>
  <si>
    <t xml:space="preserve">  14599588</t>
  </si>
  <si>
    <t>7046726312</t>
  </si>
  <si>
    <t xml:space="preserve">  14599601</t>
  </si>
  <si>
    <t>7046726323</t>
  </si>
  <si>
    <t xml:space="preserve">  14599591</t>
  </si>
  <si>
    <t>7046726315</t>
  </si>
  <si>
    <t xml:space="preserve">  14599599</t>
  </si>
  <si>
    <t>7046726321</t>
  </si>
  <si>
    <t xml:space="preserve">  14599600</t>
  </si>
  <si>
    <t>7046726322</t>
  </si>
  <si>
    <t xml:space="preserve">  14599613</t>
  </si>
  <si>
    <t>7046726330</t>
  </si>
  <si>
    <t xml:space="preserve">  14599606</t>
  </si>
  <si>
    <t>7046726326</t>
  </si>
  <si>
    <t xml:space="preserve">  14599609</t>
  </si>
  <si>
    <t>7046726328</t>
  </si>
  <si>
    <t xml:space="preserve">  14599612</t>
  </si>
  <si>
    <t>7046726329</t>
  </si>
  <si>
    <t xml:space="preserve">  14599617</t>
  </si>
  <si>
    <t>7046726332</t>
  </si>
  <si>
    <t xml:space="preserve">  14599619</t>
  </si>
  <si>
    <t>7046726333</t>
  </si>
  <si>
    <t xml:space="preserve">  14599621</t>
  </si>
  <si>
    <t>7046726334</t>
  </si>
  <si>
    <t xml:space="preserve">  14599638</t>
  </si>
  <si>
    <t>7046726335</t>
  </si>
  <si>
    <t xml:space="preserve">  14599641</t>
  </si>
  <si>
    <t>7046726337</t>
  </si>
  <si>
    <t xml:space="preserve">  14599645</t>
  </si>
  <si>
    <t>7046726339</t>
  </si>
  <si>
    <t xml:space="preserve">  14600489</t>
  </si>
  <si>
    <t>7046736339</t>
  </si>
  <si>
    <t xml:space="preserve">  14631037</t>
  </si>
  <si>
    <t>7055107336</t>
  </si>
  <si>
    <t xml:space="preserve">  14640768</t>
  </si>
  <si>
    <t>7059161322</t>
  </si>
  <si>
    <t xml:space="preserve">  14640775</t>
  </si>
  <si>
    <t>7059161324</t>
  </si>
  <si>
    <t xml:space="preserve">  14640778</t>
  </si>
  <si>
    <t>7059161325</t>
  </si>
  <si>
    <t xml:space="preserve">  14640780</t>
  </si>
  <si>
    <t>7059161326</t>
  </si>
  <si>
    <t xml:space="preserve">  14640782</t>
  </si>
  <si>
    <t>7059161327</t>
  </si>
  <si>
    <t xml:space="preserve">  14640788</t>
  </si>
  <si>
    <t>7059161329</t>
  </si>
  <si>
    <t xml:space="preserve">  14640790</t>
  </si>
  <si>
    <t>7059161330</t>
  </si>
  <si>
    <t xml:space="preserve">  14640792</t>
  </si>
  <si>
    <t>7059161331</t>
  </si>
  <si>
    <t xml:space="preserve">  14640798</t>
  </si>
  <si>
    <t>7059161332</t>
  </si>
  <si>
    <t xml:space="preserve">  14640804</t>
  </si>
  <si>
    <t>7059161334</t>
  </si>
  <si>
    <t xml:space="preserve">  14640809</t>
  </si>
  <si>
    <t>7059161335</t>
  </si>
  <si>
    <t xml:space="preserve">  14640822</t>
  </si>
  <si>
    <t>7059161340</t>
  </si>
  <si>
    <t xml:space="preserve">  14640994</t>
  </si>
  <si>
    <t>7059163305</t>
  </si>
  <si>
    <t xml:space="preserve">  14641111</t>
  </si>
  <si>
    <t>7059166302</t>
  </si>
  <si>
    <t xml:space="preserve">  14641108</t>
  </si>
  <si>
    <t>7059164340</t>
  </si>
  <si>
    <t xml:space="preserve">  14646255</t>
  </si>
  <si>
    <t>7060206316</t>
  </si>
  <si>
    <t xml:space="preserve">  14672828</t>
  </si>
  <si>
    <t>7068339307</t>
  </si>
  <si>
    <t xml:space="preserve">  14715787</t>
  </si>
  <si>
    <t>7081530321</t>
  </si>
  <si>
    <t xml:space="preserve">  14715994</t>
  </si>
  <si>
    <t>7081532330</t>
  </si>
  <si>
    <t xml:space="preserve">  14725165</t>
  </si>
  <si>
    <t>7083583322</t>
  </si>
  <si>
    <t xml:space="preserve">  14729608</t>
  </si>
  <si>
    <t>7086597306</t>
  </si>
  <si>
    <t xml:space="preserve">  14729629</t>
  </si>
  <si>
    <t>7086597316</t>
  </si>
  <si>
    <t xml:space="preserve">  14729738</t>
  </si>
  <si>
    <t>7086599301</t>
  </si>
  <si>
    <t xml:space="preserve">  14729753</t>
  </si>
  <si>
    <t>7086599307</t>
  </si>
  <si>
    <t xml:space="preserve">  14729757</t>
  </si>
  <si>
    <t>7086599311</t>
  </si>
  <si>
    <t xml:space="preserve">  14729763</t>
  </si>
  <si>
    <t>7086599316</t>
  </si>
  <si>
    <t xml:space="preserve">  14729765</t>
  </si>
  <si>
    <t>7086599318</t>
  </si>
  <si>
    <t xml:space="preserve">  14729767</t>
  </si>
  <si>
    <t>7086599320</t>
  </si>
  <si>
    <t xml:space="preserve">  14730703</t>
  </si>
  <si>
    <t>7086615325</t>
  </si>
  <si>
    <t xml:space="preserve">  14730623</t>
  </si>
  <si>
    <t>7086615307</t>
  </si>
  <si>
    <t xml:space="preserve">  14730600</t>
  </si>
  <si>
    <t>7086615302</t>
  </si>
  <si>
    <t xml:space="preserve">  14730601</t>
  </si>
  <si>
    <t>7086615303</t>
  </si>
  <si>
    <t xml:space="preserve">  14730610</t>
  </si>
  <si>
    <t>7086615304</t>
  </si>
  <si>
    <t xml:space="preserve">  14730637</t>
  </si>
  <si>
    <t>7086615311</t>
  </si>
  <si>
    <t xml:space="preserve">  14730690</t>
  </si>
  <si>
    <t>7086615322</t>
  </si>
  <si>
    <t xml:space="preserve">  14730673</t>
  </si>
  <si>
    <t>7086615318</t>
  </si>
  <si>
    <t xml:space="preserve">  14730681</t>
  </si>
  <si>
    <t>7086615320</t>
  </si>
  <si>
    <t xml:space="preserve">  14730685</t>
  </si>
  <si>
    <t>7086615321</t>
  </si>
  <si>
    <t xml:space="preserve">  14730750</t>
  </si>
  <si>
    <t>7086615328</t>
  </si>
  <si>
    <t xml:space="preserve">  14730771</t>
  </si>
  <si>
    <t>7086615333</t>
  </si>
  <si>
    <t xml:space="preserve">  14730775</t>
  </si>
  <si>
    <t>7086615334</t>
  </si>
  <si>
    <t xml:space="preserve">  14730780</t>
  </si>
  <si>
    <t>7086615335</t>
  </si>
  <si>
    <t xml:space="preserve">  14730792</t>
  </si>
  <si>
    <t>7086615338</t>
  </si>
  <si>
    <t xml:space="preserve">  14730788</t>
  </si>
  <si>
    <t>7086615337</t>
  </si>
  <si>
    <t xml:space="preserve">  14730896</t>
  </si>
  <si>
    <t>7086620302</t>
  </si>
  <si>
    <t xml:space="preserve">  14730935</t>
  </si>
  <si>
    <t>7086620321</t>
  </si>
  <si>
    <t xml:space="preserve">  14730944</t>
  </si>
  <si>
    <t>7086620324</t>
  </si>
  <si>
    <t xml:space="preserve">  14730950</t>
  </si>
  <si>
    <t>7086620326</t>
  </si>
  <si>
    <t xml:space="preserve">  14730956</t>
  </si>
  <si>
    <t>7086620328</t>
  </si>
  <si>
    <t xml:space="preserve">  14730962</t>
  </si>
  <si>
    <t>7086620330</t>
  </si>
  <si>
    <t xml:space="preserve">  14730969</t>
  </si>
  <si>
    <t>7086620332</t>
  </si>
  <si>
    <t xml:space="preserve">  14730972</t>
  </si>
  <si>
    <t>7086620334</t>
  </si>
  <si>
    <t xml:space="preserve">  14731402</t>
  </si>
  <si>
    <t>7086625310</t>
  </si>
  <si>
    <t xml:space="preserve">  14731395</t>
  </si>
  <si>
    <t>7086625305</t>
  </si>
  <si>
    <t xml:space="preserve">  14731396</t>
  </si>
  <si>
    <t>7086625306</t>
  </si>
  <si>
    <t xml:space="preserve">  14731398</t>
  </si>
  <si>
    <t>7086625307</t>
  </si>
  <si>
    <t xml:space="preserve">  14731415</t>
  </si>
  <si>
    <t>7086625320</t>
  </si>
  <si>
    <t xml:space="preserve">  14761351</t>
  </si>
  <si>
    <t>7095793331</t>
  </si>
  <si>
    <t xml:space="preserve">  14761343</t>
  </si>
  <si>
    <t>7095793327</t>
  </si>
  <si>
    <t xml:space="preserve">  14761347</t>
  </si>
  <si>
    <t>7095793329</t>
  </si>
  <si>
    <t xml:space="preserve">  14761412</t>
  </si>
  <si>
    <t>7095795306</t>
  </si>
  <si>
    <t xml:space="preserve">  14761362</t>
  </si>
  <si>
    <t>7095793336</t>
  </si>
  <si>
    <t xml:space="preserve">  14761373</t>
  </si>
  <si>
    <t>7095793340</t>
  </si>
  <si>
    <t xml:space="preserve">  14761366</t>
  </si>
  <si>
    <t>7095793338</t>
  </si>
  <si>
    <t xml:space="preserve">  14761408</t>
  </si>
  <si>
    <t>7095795302</t>
  </si>
  <si>
    <t xml:space="preserve">  14761409</t>
  </si>
  <si>
    <t>7095795303</t>
  </si>
  <si>
    <t xml:space="preserve">  14761410</t>
  </si>
  <si>
    <t>7095795304</t>
  </si>
  <si>
    <t xml:space="preserve">  14761442</t>
  </si>
  <si>
    <t>7095795317</t>
  </si>
  <si>
    <t xml:space="preserve">  14761431</t>
  </si>
  <si>
    <t>7095795313</t>
  </si>
  <si>
    <t xml:space="preserve">  14761433</t>
  </si>
  <si>
    <t>7095795314</t>
  </si>
  <si>
    <t xml:space="preserve">  14761439</t>
  </si>
  <si>
    <t>7095795316</t>
  </si>
  <si>
    <t xml:space="preserve">  14761454</t>
  </si>
  <si>
    <t>7095795318</t>
  </si>
  <si>
    <t xml:space="preserve">  14761457</t>
  </si>
  <si>
    <t>7095795319</t>
  </si>
  <si>
    <t xml:space="preserve">  14761460</t>
  </si>
  <si>
    <t>7095795321</t>
  </si>
  <si>
    <t xml:space="preserve">  14762349</t>
  </si>
  <si>
    <t>7095805317</t>
  </si>
  <si>
    <t xml:space="preserve">  14762104</t>
  </si>
  <si>
    <t>7095804331</t>
  </si>
  <si>
    <t xml:space="preserve">  14762119</t>
  </si>
  <si>
    <t>7095804339</t>
  </si>
  <si>
    <t xml:space="preserve">  14762122</t>
  </si>
  <si>
    <t>7095804340</t>
  </si>
  <si>
    <t xml:space="preserve">  14777807</t>
  </si>
  <si>
    <t>7100891323</t>
  </si>
  <si>
    <t xml:space="preserve">  14799497</t>
  </si>
  <si>
    <t>7107173339</t>
  </si>
  <si>
    <t xml:space="preserve">  14799530</t>
  </si>
  <si>
    <t>7107174304</t>
  </si>
  <si>
    <t xml:space="preserve">  14799543</t>
  </si>
  <si>
    <t>7107175304</t>
  </si>
  <si>
    <t xml:space="preserve">  14799623</t>
  </si>
  <si>
    <t>7107175306</t>
  </si>
  <si>
    <t xml:space="preserve">  14799656</t>
  </si>
  <si>
    <t>7107175318</t>
  </si>
  <si>
    <t xml:space="preserve">  14799631</t>
  </si>
  <si>
    <t>7107175311</t>
  </si>
  <si>
    <t xml:space="preserve">  14799636</t>
  </si>
  <si>
    <t>7107175314</t>
  </si>
  <si>
    <t xml:space="preserve">  14799651</t>
  </si>
  <si>
    <t>7107175315</t>
  </si>
  <si>
    <t xml:space="preserve">  14799653</t>
  </si>
  <si>
    <t>7107175316</t>
  </si>
  <si>
    <t xml:space="preserve">  14799673</t>
  </si>
  <si>
    <t>7107175320</t>
  </si>
  <si>
    <t xml:space="preserve">  14799676</t>
  </si>
  <si>
    <t>7107175322</t>
  </si>
  <si>
    <t xml:space="preserve">  14799779</t>
  </si>
  <si>
    <t>7107178302</t>
  </si>
  <si>
    <t xml:space="preserve">  14799776</t>
  </si>
  <si>
    <t>7107178301</t>
  </si>
  <si>
    <t xml:space="preserve">  14799805</t>
  </si>
  <si>
    <t>7107178312</t>
  </si>
  <si>
    <t xml:space="preserve">  14799793</t>
  </si>
  <si>
    <t>7107178308</t>
  </si>
  <si>
    <t xml:space="preserve">  14799810</t>
  </si>
  <si>
    <t>7107178314</t>
  </si>
  <si>
    <t xml:space="preserve">  14799815</t>
  </si>
  <si>
    <t>7107178317</t>
  </si>
  <si>
    <t xml:space="preserve">  14799822</t>
  </si>
  <si>
    <t>7107178319</t>
  </si>
  <si>
    <t xml:space="preserve">  14800591</t>
  </si>
  <si>
    <t>7107192322</t>
  </si>
  <si>
    <t xml:space="preserve">  14838179</t>
  </si>
  <si>
    <t>7118418309</t>
  </si>
  <si>
    <t xml:space="preserve">  14838195</t>
  </si>
  <si>
    <t>7118418315</t>
  </si>
  <si>
    <t xml:space="preserve">  14838261</t>
  </si>
  <si>
    <t>7118418332</t>
  </si>
  <si>
    <t xml:space="preserve">  14838273</t>
  </si>
  <si>
    <t>7118418337</t>
  </si>
  <si>
    <t xml:space="preserve">  14838276</t>
  </si>
  <si>
    <t>7118419311</t>
  </si>
  <si>
    <t xml:space="preserve">  14838419</t>
  </si>
  <si>
    <t>7118421318</t>
  </si>
  <si>
    <t xml:space="preserve">  14838286</t>
  </si>
  <si>
    <t>7118419313</t>
  </si>
  <si>
    <t xml:space="preserve">  14838398</t>
  </si>
  <si>
    <t>7118419328</t>
  </si>
  <si>
    <t xml:space="preserve">  14838405</t>
  </si>
  <si>
    <t>7118421305</t>
  </si>
  <si>
    <t xml:space="preserve">  14838409</t>
  </si>
  <si>
    <t>7118421309</t>
  </si>
  <si>
    <t xml:space="preserve">  14838414</t>
  </si>
  <si>
    <t>7118421314</t>
  </si>
  <si>
    <t xml:space="preserve">  14838415</t>
  </si>
  <si>
    <t>7118421315</t>
  </si>
  <si>
    <t xml:space="preserve">  14838424</t>
  </si>
  <si>
    <t>7118419335</t>
  </si>
  <si>
    <t xml:space="preserve">  14838445</t>
  </si>
  <si>
    <t>7118422301</t>
  </si>
  <si>
    <t xml:space="preserve">  14838473</t>
  </si>
  <si>
    <t>7118422319</t>
  </si>
  <si>
    <t xml:space="preserve">  14838453</t>
  </si>
  <si>
    <t>7118422306</t>
  </si>
  <si>
    <t xml:space="preserve">  14838462</t>
  </si>
  <si>
    <t>7118422311</t>
  </si>
  <si>
    <t xml:space="preserve">  14838465</t>
  </si>
  <si>
    <t>7118422314</t>
  </si>
  <si>
    <t xml:space="preserve">  14838476</t>
  </si>
  <si>
    <t>7118422322</t>
  </si>
  <si>
    <t xml:space="preserve">  14838802</t>
  </si>
  <si>
    <t>7118429338</t>
  </si>
  <si>
    <t xml:space="preserve">  14863402</t>
  </si>
  <si>
    <t>7125557304</t>
  </si>
  <si>
    <t xml:space="preserve">  14863659</t>
  </si>
  <si>
    <t>7125561305</t>
  </si>
  <si>
    <t xml:space="preserve">  14868626</t>
  </si>
  <si>
    <t>7128584307</t>
  </si>
  <si>
    <t>SEQ #</t>
  </si>
  <si>
    <t>SAMPLE NUMBER</t>
  </si>
  <si>
    <t>APP TYPE</t>
  </si>
  <si>
    <t>TBN47</t>
  </si>
  <si>
    <t>PRODUCT NUMBER</t>
  </si>
  <si>
    <t>PRODUCT NAME</t>
  </si>
  <si>
    <t>SOOT</t>
  </si>
  <si>
    <t>WATER</t>
  </si>
  <si>
    <t>MOBIL 1 5W30</t>
  </si>
  <si>
    <t>0.00</t>
  </si>
  <si>
    <t>0.26</t>
  </si>
  <si>
    <t>0.18</t>
  </si>
  <si>
    <t>0.28</t>
  </si>
  <si>
    <t>0.34</t>
  </si>
  <si>
    <t>0.17</t>
  </si>
  <si>
    <t>0.12</t>
  </si>
  <si>
    <t>0.76</t>
  </si>
  <si>
    <t>0.23</t>
  </si>
  <si>
    <t>0.15</t>
  </si>
  <si>
    <t>0.10</t>
  </si>
  <si>
    <t>0.30</t>
  </si>
  <si>
    <t>0.31</t>
  </si>
  <si>
    <t>Min Value</t>
  </si>
  <si>
    <t>Max Value</t>
  </si>
  <si>
    <t>Step Width</t>
  </si>
  <si>
    <t>Calculations</t>
  </si>
  <si>
    <t>Bin Values</t>
  </si>
  <si>
    <t>Bin</t>
  </si>
  <si>
    <t>Frequency</t>
  </si>
  <si>
    <t>Cumulative %</t>
  </si>
  <si>
    <t>% of Total</t>
  </si>
  <si>
    <t>250 Sample Dist.</t>
  </si>
  <si>
    <t>&gt; 9.61</t>
  </si>
  <si>
    <t>8.64 - 9.61</t>
  </si>
  <si>
    <t>7.67 - 8.64</t>
  </si>
  <si>
    <t>6.7 - 7.67</t>
  </si>
  <si>
    <t>5.73 - 6.7</t>
  </si>
  <si>
    <t>4.76 - 5.73</t>
  </si>
  <si>
    <t>3.79 - 4.76</t>
  </si>
  <si>
    <t>2.82 - 3.79</t>
  </si>
  <si>
    <t>1.85 - 2.82</t>
  </si>
  <si>
    <t>0.88 - 1.85</t>
  </si>
  <si>
    <t>0 - 0.88</t>
  </si>
  <si>
    <t>STANDARD NUMBER</t>
  </si>
  <si>
    <t>RANDOM</t>
  </si>
  <si>
    <t>RDN GROUP</t>
  </si>
  <si>
    <t>validacion</t>
  </si>
  <si>
    <t>calibracion</t>
  </si>
  <si>
    <t/>
  </si>
  <si>
    <t xml:space="preserve">VALIDATn </t>
  </si>
  <si>
    <t xml:space="preserve"> Property</t>
  </si>
  <si>
    <t xml:space="preserve"> Property_1</t>
  </si>
  <si>
    <t xml:space="preserve"> NORMALIZATn</t>
  </si>
  <si>
    <t xml:space="preserve">FULL </t>
  </si>
  <si>
    <t xml:space="preserve"> STANDARDS</t>
  </si>
  <si>
    <t xml:space="preserve"> mgKOH</t>
  </si>
  <si>
    <t xml:space="preserve">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</si>
</sst>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NumberFormat="1" applyFill="1" applyBorder="1" applyAlignment="1"/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3" fillId="0" borderId="0" xfId="0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/>
    <xf numFmtId="1" fontId="0" fillId="0" borderId="0" xfId="0" applyNumberFormat="1"/>
    <xf numFmtId="0" fontId="3" fillId="0" borderId="1" xfId="0" applyFont="1" applyFill="1" applyBorder="1" applyAlignment="1">
      <alignment horizontal="center"/>
    </xf>
    <xf numFmtId="0" fontId="0" fillId="0" borderId="2" xfId="0" applyNumberFormat="1" applyFill="1" applyBorder="1" applyAlignment="1"/>
    <xf numFmtId="0" fontId="0" fillId="0" borderId="2" xfId="0" applyFill="1" applyBorder="1" applyAlignment="1"/>
    <xf numFmtId="10" fontId="0" fillId="0" borderId="2" xfId="0" applyNumberFormat="1" applyFill="1" applyBorder="1" applyAlignment="1"/>
    <xf numFmtId="1" fontId="0" fillId="0" borderId="2" xfId="0" applyNumberFormat="1" applyFill="1" applyBorder="1" applyAlignment="1"/>
    <xf numFmtId="0" fontId="0" fillId="0" borderId="3" xfId="0" applyFill="1" applyBorder="1" applyAlignment="1"/>
    <xf numFmtId="10" fontId="0" fillId="0" borderId="3" xfId="0" applyNumberFormat="1" applyFill="1" applyBorder="1" applyAlignment="1"/>
    <xf numFmtId="1" fontId="0" fillId="0" borderId="3" xfId="0" applyNumberFormat="1" applyFill="1" applyBorder="1" applyAlignment="1"/>
    <xf numFmtId="0" fontId="1" fillId="0" borderId="0" xfId="1"/>
    <xf numFmtId="0" fontId="2" fillId="0" borderId="0" xfId="1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Histogram!$A$2:$A$12</c:f>
              <c:strCache>
                <c:ptCount val="11"/>
                <c:pt idx="0">
                  <c:v>0 - 0.88</c:v>
                </c:pt>
                <c:pt idx="1">
                  <c:v>0.88 - 1.85</c:v>
                </c:pt>
                <c:pt idx="2">
                  <c:v>1.85 - 2.82</c:v>
                </c:pt>
                <c:pt idx="3">
                  <c:v>2.82 - 3.79</c:v>
                </c:pt>
                <c:pt idx="4">
                  <c:v>3.79 - 4.76</c:v>
                </c:pt>
                <c:pt idx="5">
                  <c:v>4.76 - 5.73</c:v>
                </c:pt>
                <c:pt idx="6">
                  <c:v>5.73 - 6.7</c:v>
                </c:pt>
                <c:pt idx="7">
                  <c:v>6.7 - 7.67</c:v>
                </c:pt>
                <c:pt idx="8">
                  <c:v>7.67 - 8.64</c:v>
                </c:pt>
                <c:pt idx="9">
                  <c:v>8.64 - 9.61</c:v>
                </c:pt>
                <c:pt idx="10">
                  <c:v>&gt; 9.61</c:v>
                </c:pt>
              </c:strCache>
            </c:strRef>
          </c:cat>
          <c:val>
            <c:numRef>
              <c:f>Histogram!$B$2:$B$12</c:f>
              <c:numCache>
                <c:formatCode>General</c:formatCode>
                <c:ptCount val="11"/>
                <c:pt idx="0">
                  <c:v>0</c:v>
                </c:pt>
                <c:pt idx="1">
                  <c:v>15</c:v>
                </c:pt>
                <c:pt idx="2">
                  <c:v>83</c:v>
                </c:pt>
                <c:pt idx="3">
                  <c:v>192</c:v>
                </c:pt>
                <c:pt idx="4">
                  <c:v>34</c:v>
                </c:pt>
                <c:pt idx="5">
                  <c:v>9</c:v>
                </c:pt>
                <c:pt idx="6">
                  <c:v>16</c:v>
                </c:pt>
                <c:pt idx="7">
                  <c:v>17</c:v>
                </c:pt>
                <c:pt idx="8">
                  <c:v>11</c:v>
                </c:pt>
                <c:pt idx="9">
                  <c:v>6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380560"/>
        <c:axId val="369640960"/>
      </c:barChart>
      <c:catAx>
        <c:axId val="55238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9640960"/>
        <c:crosses val="autoZero"/>
        <c:auto val="1"/>
        <c:lblAlgn val="ctr"/>
        <c:lblOffset val="100"/>
        <c:noMultiLvlLbl val="0"/>
      </c:catAx>
      <c:valAx>
        <c:axId val="369640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2380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0</xdr:row>
      <xdr:rowOff>142875</xdr:rowOff>
    </xdr:from>
    <xdr:to>
      <xdr:col>15</xdr:col>
      <xdr:colOff>0</xdr:colOff>
      <xdr:row>24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180975</xdr:rowOff>
        </xdr:from>
        <xdr:to>
          <xdr:col>9</xdr:col>
          <xdr:colOff>152400</xdr:colOff>
          <xdr:row>5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Calibration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6</xdr:row>
          <xdr:rowOff>123825</xdr:rowOff>
        </xdr:from>
        <xdr:to>
          <xdr:col>9</xdr:col>
          <xdr:colOff>152400</xdr:colOff>
          <xdr:row>10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Calibration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11</xdr:row>
          <xdr:rowOff>76200</xdr:rowOff>
        </xdr:from>
        <xdr:to>
          <xdr:col>9</xdr:col>
          <xdr:colOff>152400</xdr:colOff>
          <xdr:row>14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Validation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t%20calibraci&#243;n%20y%20validaci&#243;n%20GQ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SV Export Instructions"/>
      <sheetName val="Complement"/>
      <sheetName val="Calibration Set"/>
    </sheetNames>
    <definedNames>
      <definedName name="Export_CSV"/>
      <definedName name="Export_CSV1"/>
      <definedName name="Export_CSV2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/>
  </sheetViews>
  <sheetFormatPr defaultRowHeight="15" x14ac:dyDescent="0.25"/>
  <sheetData>
    <row r="1" spans="1:3" x14ac:dyDescent="0.25">
      <c r="B1" t="s">
        <v>803</v>
      </c>
      <c r="C1" t="s">
        <v>804</v>
      </c>
    </row>
    <row r="2" spans="1:3" x14ac:dyDescent="0.25">
      <c r="A2" t="s">
        <v>800</v>
      </c>
      <c r="B2">
        <f>MIN('Raw Data'!E:E)</f>
        <v>1.1100000000000001</v>
      </c>
      <c r="C2">
        <v>0.88</v>
      </c>
    </row>
    <row r="3" spans="1:3" x14ac:dyDescent="0.25">
      <c r="A3" t="s">
        <v>801</v>
      </c>
      <c r="B3">
        <f>MAX('Raw Data'!E:E)</f>
        <v>10.54</v>
      </c>
      <c r="C3">
        <v>1.85</v>
      </c>
    </row>
    <row r="4" spans="1:3" x14ac:dyDescent="0.25">
      <c r="A4" t="s">
        <v>802</v>
      </c>
      <c r="B4">
        <v>0.97</v>
      </c>
      <c r="C4">
        <v>2.8200000000000003</v>
      </c>
    </row>
    <row r="5" spans="1:3" x14ac:dyDescent="0.25">
      <c r="C5">
        <v>3.79</v>
      </c>
    </row>
    <row r="6" spans="1:3" x14ac:dyDescent="0.25">
      <c r="C6">
        <v>4.76</v>
      </c>
    </row>
    <row r="7" spans="1:3" x14ac:dyDescent="0.25">
      <c r="C7">
        <v>5.7299999999999995</v>
      </c>
    </row>
    <row r="8" spans="1:3" x14ac:dyDescent="0.25">
      <c r="C8">
        <v>6.6999999999999993</v>
      </c>
    </row>
    <row r="9" spans="1:3" x14ac:dyDescent="0.25">
      <c r="C9">
        <v>7.669999999999999</v>
      </c>
    </row>
    <row r="10" spans="1:3" x14ac:dyDescent="0.25">
      <c r="C10">
        <v>8.6399999999999988</v>
      </c>
    </row>
    <row r="11" spans="1:3" x14ac:dyDescent="0.25">
      <c r="C11">
        <v>9.61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workbookViewId="0">
      <selection activeCell="D23" sqref="D23"/>
    </sheetView>
  </sheetViews>
  <sheetFormatPr defaultRowHeight="15" x14ac:dyDescent="0.25"/>
  <cols>
    <col min="1" max="1" width="9.7109375" bestFit="1" customWidth="1"/>
    <col min="2" max="2" width="10.5703125" bestFit="1" customWidth="1"/>
    <col min="3" max="3" width="13.5703125" bestFit="1" customWidth="1"/>
    <col min="4" max="4" width="10.28515625" bestFit="1" customWidth="1"/>
    <col min="5" max="5" width="15.85546875" style="11" bestFit="1" customWidth="1"/>
  </cols>
  <sheetData>
    <row r="1" spans="1:5" x14ac:dyDescent="0.25">
      <c r="A1" s="12" t="s">
        <v>805</v>
      </c>
      <c r="B1" s="12" t="s">
        <v>806</v>
      </c>
      <c r="C1" s="12" t="s">
        <v>807</v>
      </c>
      <c r="D1" s="8" t="s">
        <v>808</v>
      </c>
      <c r="E1" s="9" t="s">
        <v>809</v>
      </c>
    </row>
    <row r="2" spans="1:5" x14ac:dyDescent="0.25">
      <c r="A2" s="13" t="s">
        <v>820</v>
      </c>
      <c r="B2" s="14">
        <v>0</v>
      </c>
      <c r="C2" s="15">
        <v>0</v>
      </c>
      <c r="D2" s="15">
        <f>C2</f>
        <v>0</v>
      </c>
      <c r="E2" s="16">
        <f>ROUNDDOWN(250*D2,0)</f>
        <v>0</v>
      </c>
    </row>
    <row r="3" spans="1:5" x14ac:dyDescent="0.25">
      <c r="A3" s="5" t="s">
        <v>819</v>
      </c>
      <c r="B3" s="6">
        <v>15</v>
      </c>
      <c r="C3" s="7">
        <v>3.8659793814432991E-2</v>
      </c>
      <c r="D3" s="7">
        <f>C3-C2</f>
        <v>3.8659793814432991E-2</v>
      </c>
      <c r="E3" s="10">
        <f t="shared" ref="E3:E12" si="0">ROUNDDOWN(250*D3,0)</f>
        <v>9</v>
      </c>
    </row>
    <row r="4" spans="1:5" x14ac:dyDescent="0.25">
      <c r="A4" s="5" t="s">
        <v>818</v>
      </c>
      <c r="B4" s="6">
        <v>83</v>
      </c>
      <c r="C4" s="7">
        <v>0.25257731958762886</v>
      </c>
      <c r="D4" s="7">
        <f>C4-C3</f>
        <v>0.21391752577319587</v>
      </c>
      <c r="E4" s="10">
        <f t="shared" si="0"/>
        <v>53</v>
      </c>
    </row>
    <row r="5" spans="1:5" x14ac:dyDescent="0.25">
      <c r="A5" s="5" t="s">
        <v>817</v>
      </c>
      <c r="B5" s="6">
        <v>192</v>
      </c>
      <c r="C5" s="7">
        <v>0.74742268041237114</v>
      </c>
      <c r="D5" s="7">
        <f>C5-C4</f>
        <v>0.49484536082474229</v>
      </c>
      <c r="E5" s="10">
        <f t="shared" si="0"/>
        <v>123</v>
      </c>
    </row>
    <row r="6" spans="1:5" x14ac:dyDescent="0.25">
      <c r="A6" s="5" t="s">
        <v>816</v>
      </c>
      <c r="B6" s="6">
        <v>34</v>
      </c>
      <c r="C6" s="7">
        <v>0.83505154639175261</v>
      </c>
      <c r="D6" s="7">
        <f>C6-C5</f>
        <v>8.7628865979381465E-2</v>
      </c>
      <c r="E6" s="10">
        <f t="shared" si="0"/>
        <v>21</v>
      </c>
    </row>
    <row r="7" spans="1:5" x14ac:dyDescent="0.25">
      <c r="A7" s="5" t="s">
        <v>815</v>
      </c>
      <c r="B7" s="6">
        <v>9</v>
      </c>
      <c r="C7" s="7">
        <v>0.85824742268041232</v>
      </c>
      <c r="D7" s="7">
        <f>C7-C6</f>
        <v>2.3195876288659711E-2</v>
      </c>
      <c r="E7" s="10">
        <f t="shared" si="0"/>
        <v>5</v>
      </c>
    </row>
    <row r="8" spans="1:5" x14ac:dyDescent="0.25">
      <c r="A8" s="5" t="s">
        <v>814</v>
      </c>
      <c r="B8" s="6">
        <v>16</v>
      </c>
      <c r="C8" s="7">
        <v>0.89948453608247425</v>
      </c>
      <c r="D8" s="7">
        <f>C8-C7</f>
        <v>4.1237113402061931E-2</v>
      </c>
      <c r="E8" s="10">
        <f t="shared" si="0"/>
        <v>10</v>
      </c>
    </row>
    <row r="9" spans="1:5" x14ac:dyDescent="0.25">
      <c r="A9" s="5" t="s">
        <v>813</v>
      </c>
      <c r="B9" s="6">
        <v>17</v>
      </c>
      <c r="C9" s="7">
        <v>0.94329896907216493</v>
      </c>
      <c r="D9" s="7">
        <f>C9-C8</f>
        <v>4.3814432989690677E-2</v>
      </c>
      <c r="E9" s="10">
        <f t="shared" si="0"/>
        <v>10</v>
      </c>
    </row>
    <row r="10" spans="1:5" x14ac:dyDescent="0.25">
      <c r="A10" s="5" t="s">
        <v>812</v>
      </c>
      <c r="B10" s="6">
        <v>11</v>
      </c>
      <c r="C10" s="7">
        <v>0.97164948453608246</v>
      </c>
      <c r="D10" s="7">
        <f>C10-C9</f>
        <v>2.8350515463917536E-2</v>
      </c>
      <c r="E10" s="10">
        <f t="shared" si="0"/>
        <v>7</v>
      </c>
    </row>
    <row r="11" spans="1:5" x14ac:dyDescent="0.25">
      <c r="A11" s="5" t="s">
        <v>811</v>
      </c>
      <c r="B11" s="6">
        <v>6</v>
      </c>
      <c r="C11" s="7">
        <v>0.98711340206185572</v>
      </c>
      <c r="D11" s="7">
        <f>C11-C10</f>
        <v>1.5463917525773252E-2</v>
      </c>
      <c r="E11" s="10">
        <f t="shared" si="0"/>
        <v>3</v>
      </c>
    </row>
    <row r="12" spans="1:5" ht="15.75" thickBot="1" x14ac:dyDescent="0.3">
      <c r="A12" s="17" t="s">
        <v>810</v>
      </c>
      <c r="B12" s="17">
        <v>5</v>
      </c>
      <c r="C12" s="18">
        <v>1</v>
      </c>
      <c r="D12" s="18">
        <f>C12-C11</f>
        <v>1.2886597938144284E-2</v>
      </c>
      <c r="E12" s="19">
        <f t="shared" si="0"/>
        <v>3</v>
      </c>
    </row>
    <row r="13" spans="1:5" ht="15.75" thickTop="1" x14ac:dyDescent="0.25">
      <c r="B13">
        <f>SUM(B2:B12)</f>
        <v>388</v>
      </c>
    </row>
  </sheetData>
  <sortState ref="A2:A11">
    <sortCondition ref="A2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25"/>
  <sheetViews>
    <sheetView topLeftCell="A109" workbookViewId="0">
      <selection activeCell="D31" sqref="D31"/>
    </sheetView>
  </sheetViews>
  <sheetFormatPr defaultRowHeight="15" x14ac:dyDescent="0.25"/>
  <cols>
    <col min="1" max="1" width="11" bestFit="1" customWidth="1"/>
  </cols>
  <sheetData>
    <row r="1" spans="1:1" x14ac:dyDescent="0.25">
      <c r="A1" t="s">
        <v>5</v>
      </c>
    </row>
    <row r="2" spans="1:1" x14ac:dyDescent="0.25">
      <c r="A2" t="s">
        <v>9</v>
      </c>
    </row>
    <row r="3" spans="1:1" x14ac:dyDescent="0.25">
      <c r="A3" t="s">
        <v>15</v>
      </c>
    </row>
    <row r="4" spans="1:1" x14ac:dyDescent="0.25">
      <c r="A4" t="s">
        <v>35</v>
      </c>
    </row>
    <row r="5" spans="1:1" x14ac:dyDescent="0.25">
      <c r="A5" t="s">
        <v>49</v>
      </c>
    </row>
    <row r="6" spans="1:1" x14ac:dyDescent="0.25">
      <c r="A6" t="s">
        <v>45</v>
      </c>
    </row>
    <row r="7" spans="1:1" x14ac:dyDescent="0.25">
      <c r="A7" t="s">
        <v>53</v>
      </c>
    </row>
    <row r="8" spans="1:1" x14ac:dyDescent="0.25">
      <c r="A8" t="s">
        <v>67</v>
      </c>
    </row>
    <row r="9" spans="1:1" x14ac:dyDescent="0.25">
      <c r="A9" t="s">
        <v>63</v>
      </c>
    </row>
    <row r="10" spans="1:1" x14ac:dyDescent="0.25">
      <c r="A10" t="s">
        <v>71</v>
      </c>
    </row>
    <row r="11" spans="1:1" x14ac:dyDescent="0.25">
      <c r="A11" t="s">
        <v>77</v>
      </c>
    </row>
    <row r="12" spans="1:1" x14ac:dyDescent="0.25">
      <c r="A12" t="s">
        <v>85</v>
      </c>
    </row>
    <row r="13" spans="1:1" x14ac:dyDescent="0.25">
      <c r="A13" t="s">
        <v>101</v>
      </c>
    </row>
    <row r="14" spans="1:1" x14ac:dyDescent="0.25">
      <c r="A14" t="s">
        <v>103</v>
      </c>
    </row>
    <row r="15" spans="1:1" x14ac:dyDescent="0.25">
      <c r="A15" t="s">
        <v>109</v>
      </c>
    </row>
    <row r="16" spans="1:1" x14ac:dyDescent="0.25">
      <c r="A16" t="s">
        <v>111</v>
      </c>
    </row>
    <row r="17" spans="1:1" x14ac:dyDescent="0.25">
      <c r="A17" t="s">
        <v>105</v>
      </c>
    </row>
    <row r="18" spans="1:1" x14ac:dyDescent="0.25">
      <c r="A18" t="s">
        <v>113</v>
      </c>
    </row>
    <row r="19" spans="1:1" x14ac:dyDescent="0.25">
      <c r="A19" t="s">
        <v>115</v>
      </c>
    </row>
    <row r="20" spans="1:1" x14ac:dyDescent="0.25">
      <c r="A20" t="s">
        <v>123</v>
      </c>
    </row>
    <row r="21" spans="1:1" x14ac:dyDescent="0.25">
      <c r="A21" t="s">
        <v>127</v>
      </c>
    </row>
    <row r="22" spans="1:1" x14ac:dyDescent="0.25">
      <c r="A22" t="s">
        <v>133</v>
      </c>
    </row>
    <row r="23" spans="1:1" x14ac:dyDescent="0.25">
      <c r="A23" t="s">
        <v>135</v>
      </c>
    </row>
    <row r="24" spans="1:1" x14ac:dyDescent="0.25">
      <c r="A24" t="s">
        <v>139</v>
      </c>
    </row>
    <row r="25" spans="1:1" x14ac:dyDescent="0.25">
      <c r="A25" t="s">
        <v>141</v>
      </c>
    </row>
    <row r="26" spans="1:1" x14ac:dyDescent="0.25">
      <c r="A26" t="s">
        <v>143</v>
      </c>
    </row>
    <row r="27" spans="1:1" x14ac:dyDescent="0.25">
      <c r="A27" t="s">
        <v>151</v>
      </c>
    </row>
    <row r="28" spans="1:1" x14ac:dyDescent="0.25">
      <c r="A28" t="s">
        <v>161</v>
      </c>
    </row>
    <row r="29" spans="1:1" x14ac:dyDescent="0.25">
      <c r="A29" t="s">
        <v>167</v>
      </c>
    </row>
    <row r="30" spans="1:1" x14ac:dyDescent="0.25">
      <c r="A30" t="s">
        <v>177</v>
      </c>
    </row>
    <row r="31" spans="1:1" x14ac:dyDescent="0.25">
      <c r="A31" t="s">
        <v>187</v>
      </c>
    </row>
    <row r="32" spans="1:1" x14ac:dyDescent="0.25">
      <c r="A32" t="s">
        <v>195</v>
      </c>
    </row>
    <row r="33" spans="1:1" x14ac:dyDescent="0.25">
      <c r="A33" t="s">
        <v>209</v>
      </c>
    </row>
    <row r="34" spans="1:1" x14ac:dyDescent="0.25">
      <c r="A34" t="s">
        <v>213</v>
      </c>
    </row>
    <row r="35" spans="1:1" x14ac:dyDescent="0.25">
      <c r="A35" t="s">
        <v>215</v>
      </c>
    </row>
    <row r="36" spans="1:1" x14ac:dyDescent="0.25">
      <c r="A36" t="s">
        <v>221</v>
      </c>
    </row>
    <row r="37" spans="1:1" x14ac:dyDescent="0.25">
      <c r="A37" t="s">
        <v>229</v>
      </c>
    </row>
    <row r="38" spans="1:1" x14ac:dyDescent="0.25">
      <c r="A38" t="s">
        <v>241</v>
      </c>
    </row>
    <row r="39" spans="1:1" x14ac:dyDescent="0.25">
      <c r="A39" t="s">
        <v>243</v>
      </c>
    </row>
    <row r="40" spans="1:1" x14ac:dyDescent="0.25">
      <c r="A40" t="s">
        <v>253</v>
      </c>
    </row>
    <row r="41" spans="1:1" x14ac:dyDescent="0.25">
      <c r="A41" t="s">
        <v>255</v>
      </c>
    </row>
    <row r="42" spans="1:1" x14ac:dyDescent="0.25">
      <c r="A42" t="s">
        <v>265</v>
      </c>
    </row>
    <row r="43" spans="1:1" x14ac:dyDescent="0.25">
      <c r="A43" t="s">
        <v>271</v>
      </c>
    </row>
    <row r="44" spans="1:1" x14ac:dyDescent="0.25">
      <c r="A44" t="s">
        <v>273</v>
      </c>
    </row>
    <row r="45" spans="1:1" x14ac:dyDescent="0.25">
      <c r="A45" t="s">
        <v>275</v>
      </c>
    </row>
    <row r="46" spans="1:1" x14ac:dyDescent="0.25">
      <c r="A46" t="s">
        <v>277</v>
      </c>
    </row>
    <row r="47" spans="1:1" x14ac:dyDescent="0.25">
      <c r="A47" t="s">
        <v>279</v>
      </c>
    </row>
    <row r="48" spans="1:1" x14ac:dyDescent="0.25">
      <c r="A48" t="s">
        <v>281</v>
      </c>
    </row>
    <row r="49" spans="1:1" x14ac:dyDescent="0.25">
      <c r="A49" t="s">
        <v>283</v>
      </c>
    </row>
    <row r="50" spans="1:1" x14ac:dyDescent="0.25">
      <c r="A50" t="s">
        <v>287</v>
      </c>
    </row>
    <row r="51" spans="1:1" x14ac:dyDescent="0.25">
      <c r="A51" t="s">
        <v>289</v>
      </c>
    </row>
    <row r="52" spans="1:1" x14ac:dyDescent="0.25">
      <c r="A52" t="s">
        <v>315</v>
      </c>
    </row>
    <row r="53" spans="1:1" x14ac:dyDescent="0.25">
      <c r="A53" t="s">
        <v>317</v>
      </c>
    </row>
    <row r="54" spans="1:1" x14ac:dyDescent="0.25">
      <c r="A54" t="s">
        <v>319</v>
      </c>
    </row>
    <row r="55" spans="1:1" x14ac:dyDescent="0.25">
      <c r="A55" t="s">
        <v>291</v>
      </c>
    </row>
    <row r="56" spans="1:1" x14ac:dyDescent="0.25">
      <c r="A56" t="s">
        <v>297</v>
      </c>
    </row>
    <row r="57" spans="1:1" x14ac:dyDescent="0.25">
      <c r="A57" t="s">
        <v>301</v>
      </c>
    </row>
    <row r="58" spans="1:1" x14ac:dyDescent="0.25">
      <c r="A58" t="s">
        <v>331</v>
      </c>
    </row>
    <row r="59" spans="1:1" x14ac:dyDescent="0.25">
      <c r="A59" t="s">
        <v>335</v>
      </c>
    </row>
    <row r="60" spans="1:1" x14ac:dyDescent="0.25">
      <c r="A60" t="s">
        <v>361</v>
      </c>
    </row>
    <row r="61" spans="1:1" x14ac:dyDescent="0.25">
      <c r="A61" t="s">
        <v>363</v>
      </c>
    </row>
    <row r="62" spans="1:1" x14ac:dyDescent="0.25">
      <c r="A62" t="s">
        <v>375</v>
      </c>
    </row>
    <row r="63" spans="1:1" x14ac:dyDescent="0.25">
      <c r="A63" t="s">
        <v>383</v>
      </c>
    </row>
    <row r="64" spans="1:1" x14ac:dyDescent="0.25">
      <c r="A64" t="s">
        <v>385</v>
      </c>
    </row>
    <row r="65" spans="1:1" x14ac:dyDescent="0.25">
      <c r="A65" t="s">
        <v>389</v>
      </c>
    </row>
    <row r="66" spans="1:1" x14ac:dyDescent="0.25">
      <c r="A66" t="s">
        <v>387</v>
      </c>
    </row>
    <row r="67" spans="1:1" x14ac:dyDescent="0.25">
      <c r="A67" t="s">
        <v>397</v>
      </c>
    </row>
    <row r="68" spans="1:1" x14ac:dyDescent="0.25">
      <c r="A68" t="s">
        <v>399</v>
      </c>
    </row>
    <row r="69" spans="1:1" x14ac:dyDescent="0.25">
      <c r="A69" t="s">
        <v>401</v>
      </c>
    </row>
    <row r="70" spans="1:1" x14ac:dyDescent="0.25">
      <c r="A70" t="s">
        <v>415</v>
      </c>
    </row>
    <row r="71" spans="1:1" x14ac:dyDescent="0.25">
      <c r="A71" t="s">
        <v>423</v>
      </c>
    </row>
    <row r="72" spans="1:1" x14ac:dyDescent="0.25">
      <c r="A72" t="s">
        <v>433</v>
      </c>
    </row>
    <row r="73" spans="1:1" x14ac:dyDescent="0.25">
      <c r="A73" t="s">
        <v>431</v>
      </c>
    </row>
    <row r="74" spans="1:1" x14ac:dyDescent="0.25">
      <c r="A74" t="s">
        <v>429</v>
      </c>
    </row>
    <row r="75" spans="1:1" x14ac:dyDescent="0.25">
      <c r="A75" t="s">
        <v>435</v>
      </c>
    </row>
    <row r="76" spans="1:1" x14ac:dyDescent="0.25">
      <c r="A76" t="s">
        <v>439</v>
      </c>
    </row>
    <row r="77" spans="1:1" x14ac:dyDescent="0.25">
      <c r="A77" t="s">
        <v>445</v>
      </c>
    </row>
    <row r="78" spans="1:1" x14ac:dyDescent="0.25">
      <c r="A78" t="s">
        <v>449</v>
      </c>
    </row>
    <row r="79" spans="1:1" x14ac:dyDescent="0.25">
      <c r="A79" t="s">
        <v>455</v>
      </c>
    </row>
    <row r="80" spans="1:1" x14ac:dyDescent="0.25">
      <c r="A80" t="s">
        <v>467</v>
      </c>
    </row>
    <row r="81" spans="1:1" x14ac:dyDescent="0.25">
      <c r="A81" t="s">
        <v>477</v>
      </c>
    </row>
    <row r="82" spans="1:1" x14ac:dyDescent="0.25">
      <c r="A82" t="s">
        <v>479</v>
      </c>
    </row>
    <row r="83" spans="1:1" x14ac:dyDescent="0.25">
      <c r="A83" t="s">
        <v>487</v>
      </c>
    </row>
    <row r="84" spans="1:1" x14ac:dyDescent="0.25">
      <c r="A84" t="s">
        <v>491</v>
      </c>
    </row>
    <row r="85" spans="1:1" x14ac:dyDescent="0.25">
      <c r="A85" t="s">
        <v>493</v>
      </c>
    </row>
    <row r="86" spans="1:1" x14ac:dyDescent="0.25">
      <c r="A86" t="s">
        <v>497</v>
      </c>
    </row>
    <row r="87" spans="1:1" x14ac:dyDescent="0.25">
      <c r="A87" t="s">
        <v>503</v>
      </c>
    </row>
    <row r="88" spans="1:1" x14ac:dyDescent="0.25">
      <c r="A88" t="s">
        <v>509</v>
      </c>
    </row>
    <row r="89" spans="1:1" x14ac:dyDescent="0.25">
      <c r="A89" t="s">
        <v>511</v>
      </c>
    </row>
    <row r="90" spans="1:1" x14ac:dyDescent="0.25">
      <c r="A90" t="s">
        <v>505</v>
      </c>
    </row>
    <row r="91" spans="1:1" x14ac:dyDescent="0.25">
      <c r="A91" t="s">
        <v>523</v>
      </c>
    </row>
    <row r="92" spans="1:1" x14ac:dyDescent="0.25">
      <c r="A92" t="s">
        <v>531</v>
      </c>
    </row>
    <row r="93" spans="1:1" x14ac:dyDescent="0.25">
      <c r="A93" t="s">
        <v>539</v>
      </c>
    </row>
    <row r="94" spans="1:1" x14ac:dyDescent="0.25">
      <c r="A94" t="s">
        <v>547</v>
      </c>
    </row>
    <row r="95" spans="1:1" x14ac:dyDescent="0.25">
      <c r="A95" t="s">
        <v>555</v>
      </c>
    </row>
    <row r="96" spans="1:1" x14ac:dyDescent="0.25">
      <c r="A96" t="s">
        <v>559</v>
      </c>
    </row>
    <row r="97" spans="1:1" x14ac:dyDescent="0.25">
      <c r="A97" t="s">
        <v>565</v>
      </c>
    </row>
    <row r="98" spans="1:1" x14ac:dyDescent="0.25">
      <c r="A98" t="s">
        <v>563</v>
      </c>
    </row>
    <row r="99" spans="1:1" x14ac:dyDescent="0.25">
      <c r="A99" t="s">
        <v>567</v>
      </c>
    </row>
    <row r="100" spans="1:1" x14ac:dyDescent="0.25">
      <c r="A100" t="s">
        <v>571</v>
      </c>
    </row>
    <row r="101" spans="1:1" x14ac:dyDescent="0.25">
      <c r="A101" t="s">
        <v>605</v>
      </c>
    </row>
    <row r="102" spans="1:1" x14ac:dyDescent="0.25">
      <c r="A102" t="s">
        <v>617</v>
      </c>
    </row>
    <row r="103" spans="1:1" x14ac:dyDescent="0.25">
      <c r="A103" t="s">
        <v>621</v>
      </c>
    </row>
    <row r="104" spans="1:1" x14ac:dyDescent="0.25">
      <c r="A104" t="s">
        <v>629</v>
      </c>
    </row>
    <row r="105" spans="1:1" x14ac:dyDescent="0.25">
      <c r="A105" t="s">
        <v>633</v>
      </c>
    </row>
    <row r="106" spans="1:1" x14ac:dyDescent="0.25">
      <c r="A106" t="s">
        <v>637</v>
      </c>
    </row>
    <row r="107" spans="1:1" x14ac:dyDescent="0.25">
      <c r="A107" t="s">
        <v>647</v>
      </c>
    </row>
    <row r="108" spans="1:1" x14ac:dyDescent="0.25">
      <c r="A108" t="s">
        <v>649</v>
      </c>
    </row>
    <row r="109" spans="1:1" x14ac:dyDescent="0.25">
      <c r="A109" t="s">
        <v>651</v>
      </c>
    </row>
    <row r="110" spans="1:1" x14ac:dyDescent="0.25">
      <c r="A110" t="s">
        <v>661</v>
      </c>
    </row>
    <row r="111" spans="1:1" x14ac:dyDescent="0.25">
      <c r="A111" t="s">
        <v>665</v>
      </c>
    </row>
    <row r="112" spans="1:1" x14ac:dyDescent="0.25">
      <c r="A112" t="s">
        <v>667</v>
      </c>
    </row>
    <row r="113" spans="1:1" x14ac:dyDescent="0.25">
      <c r="A113" t="s">
        <v>671</v>
      </c>
    </row>
    <row r="114" spans="1:1" x14ac:dyDescent="0.25">
      <c r="A114" t="s">
        <v>681</v>
      </c>
    </row>
    <row r="115" spans="1:1" x14ac:dyDescent="0.25">
      <c r="A115" t="s">
        <v>693</v>
      </c>
    </row>
    <row r="116" spans="1:1" x14ac:dyDescent="0.25">
      <c r="A116" t="s">
        <v>709</v>
      </c>
    </row>
    <row r="117" spans="1:1" x14ac:dyDescent="0.25">
      <c r="A117" t="s">
        <v>711</v>
      </c>
    </row>
    <row r="118" spans="1:1" x14ac:dyDescent="0.25">
      <c r="A118" t="s">
        <v>713</v>
      </c>
    </row>
    <row r="119" spans="1:1" x14ac:dyDescent="0.25">
      <c r="A119" t="s">
        <v>717</v>
      </c>
    </row>
    <row r="120" spans="1:1" x14ac:dyDescent="0.25">
      <c r="A120" t="s">
        <v>723</v>
      </c>
    </row>
    <row r="121" spans="1:1" x14ac:dyDescent="0.25">
      <c r="A121" t="s">
        <v>721</v>
      </c>
    </row>
    <row r="122" spans="1:1" x14ac:dyDescent="0.25">
      <c r="A122" t="s">
        <v>747</v>
      </c>
    </row>
    <row r="123" spans="1:1" x14ac:dyDescent="0.25">
      <c r="A123" t="s">
        <v>757</v>
      </c>
    </row>
    <row r="124" spans="1:1" x14ac:dyDescent="0.25">
      <c r="A124" t="s">
        <v>765</v>
      </c>
    </row>
    <row r="125" spans="1:1" x14ac:dyDescent="0.25">
      <c r="A125" t="s">
        <v>769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50"/>
  <sheetViews>
    <sheetView workbookViewId="0">
      <selection activeCell="E18" sqref="E18"/>
    </sheetView>
  </sheetViews>
  <sheetFormatPr defaultRowHeight="15" x14ac:dyDescent="0.25"/>
  <cols>
    <col min="1" max="1" width="11" bestFit="1" customWidth="1"/>
  </cols>
  <sheetData>
    <row r="1" spans="1:1" x14ac:dyDescent="0.25">
      <c r="A1" t="s">
        <v>1</v>
      </c>
    </row>
    <row r="2" spans="1:1" x14ac:dyDescent="0.25">
      <c r="A2" t="s">
        <v>7</v>
      </c>
    </row>
    <row r="3" spans="1:1" x14ac:dyDescent="0.25">
      <c r="A3" t="s">
        <v>11</v>
      </c>
    </row>
    <row r="4" spans="1:1" x14ac:dyDescent="0.25">
      <c r="A4" t="s">
        <v>13</v>
      </c>
    </row>
    <row r="5" spans="1:1" x14ac:dyDescent="0.25">
      <c r="A5" t="s">
        <v>17</v>
      </c>
    </row>
    <row r="6" spans="1:1" x14ac:dyDescent="0.25">
      <c r="A6" t="s">
        <v>19</v>
      </c>
    </row>
    <row r="7" spans="1:1" x14ac:dyDescent="0.25">
      <c r="A7" t="s">
        <v>21</v>
      </c>
    </row>
    <row r="8" spans="1:1" x14ac:dyDescent="0.25">
      <c r="A8" t="s">
        <v>23</v>
      </c>
    </row>
    <row r="9" spans="1:1" x14ac:dyDescent="0.25">
      <c r="A9" t="s">
        <v>25</v>
      </c>
    </row>
    <row r="10" spans="1:1" x14ac:dyDescent="0.25">
      <c r="A10" t="s">
        <v>27</v>
      </c>
    </row>
    <row r="11" spans="1:1" x14ac:dyDescent="0.25">
      <c r="A11" t="s">
        <v>29</v>
      </c>
    </row>
    <row r="12" spans="1:1" x14ac:dyDescent="0.25">
      <c r="A12" t="s">
        <v>31</v>
      </c>
    </row>
    <row r="13" spans="1:1" x14ac:dyDescent="0.25">
      <c r="A13" t="s">
        <v>33</v>
      </c>
    </row>
    <row r="14" spans="1:1" x14ac:dyDescent="0.25">
      <c r="A14" t="s">
        <v>37</v>
      </c>
    </row>
    <row r="15" spans="1:1" x14ac:dyDescent="0.25">
      <c r="A15" t="s">
        <v>39</v>
      </c>
    </row>
    <row r="16" spans="1:1" x14ac:dyDescent="0.25">
      <c r="A16" t="s">
        <v>41</v>
      </c>
    </row>
    <row r="17" spans="1:1" x14ac:dyDescent="0.25">
      <c r="A17" t="s">
        <v>47</v>
      </c>
    </row>
    <row r="18" spans="1:1" x14ac:dyDescent="0.25">
      <c r="A18" t="s">
        <v>51</v>
      </c>
    </row>
    <row r="19" spans="1:1" x14ac:dyDescent="0.25">
      <c r="A19" t="s">
        <v>43</v>
      </c>
    </row>
    <row r="20" spans="1:1" x14ac:dyDescent="0.25">
      <c r="A20" t="s">
        <v>55</v>
      </c>
    </row>
    <row r="21" spans="1:1" x14ac:dyDescent="0.25">
      <c r="A21" t="s">
        <v>57</v>
      </c>
    </row>
    <row r="22" spans="1:1" x14ac:dyDescent="0.25">
      <c r="A22" t="s">
        <v>59</v>
      </c>
    </row>
    <row r="23" spans="1:1" x14ac:dyDescent="0.25">
      <c r="A23" t="s">
        <v>61</v>
      </c>
    </row>
    <row r="24" spans="1:1" x14ac:dyDescent="0.25">
      <c r="A24" t="s">
        <v>65</v>
      </c>
    </row>
    <row r="25" spans="1:1" x14ac:dyDescent="0.25">
      <c r="A25" t="s">
        <v>69</v>
      </c>
    </row>
    <row r="26" spans="1:1" x14ac:dyDescent="0.25">
      <c r="A26" t="s">
        <v>73</v>
      </c>
    </row>
    <row r="27" spans="1:1" x14ac:dyDescent="0.25">
      <c r="A27" t="s">
        <v>75</v>
      </c>
    </row>
    <row r="28" spans="1:1" x14ac:dyDescent="0.25">
      <c r="A28" t="s">
        <v>79</v>
      </c>
    </row>
    <row r="29" spans="1:1" x14ac:dyDescent="0.25">
      <c r="A29" t="s">
        <v>81</v>
      </c>
    </row>
    <row r="30" spans="1:1" x14ac:dyDescent="0.25">
      <c r="A30" t="s">
        <v>83</v>
      </c>
    </row>
    <row r="31" spans="1:1" x14ac:dyDescent="0.25">
      <c r="A31" t="s">
        <v>87</v>
      </c>
    </row>
    <row r="32" spans="1:1" x14ac:dyDescent="0.25">
      <c r="A32" t="s">
        <v>89</v>
      </c>
    </row>
    <row r="33" spans="1:1" x14ac:dyDescent="0.25">
      <c r="A33" t="s">
        <v>93</v>
      </c>
    </row>
    <row r="34" spans="1:1" x14ac:dyDescent="0.25">
      <c r="A34" t="s">
        <v>91</v>
      </c>
    </row>
    <row r="35" spans="1:1" x14ac:dyDescent="0.25">
      <c r="A35" t="s">
        <v>95</v>
      </c>
    </row>
    <row r="36" spans="1:1" x14ac:dyDescent="0.25">
      <c r="A36" t="s">
        <v>97</v>
      </c>
    </row>
    <row r="37" spans="1:1" x14ac:dyDescent="0.25">
      <c r="A37" t="s">
        <v>99</v>
      </c>
    </row>
    <row r="38" spans="1:1" x14ac:dyDescent="0.25">
      <c r="A38" t="s">
        <v>117</v>
      </c>
    </row>
    <row r="39" spans="1:1" x14ac:dyDescent="0.25">
      <c r="A39" t="s">
        <v>119</v>
      </c>
    </row>
    <row r="40" spans="1:1" x14ac:dyDescent="0.25">
      <c r="A40" t="s">
        <v>125</v>
      </c>
    </row>
    <row r="41" spans="1:1" x14ac:dyDescent="0.25">
      <c r="A41" t="s">
        <v>129</v>
      </c>
    </row>
    <row r="42" spans="1:1" x14ac:dyDescent="0.25">
      <c r="A42" t="s">
        <v>131</v>
      </c>
    </row>
    <row r="43" spans="1:1" x14ac:dyDescent="0.25">
      <c r="A43" t="s">
        <v>137</v>
      </c>
    </row>
    <row r="44" spans="1:1" x14ac:dyDescent="0.25">
      <c r="A44" t="s">
        <v>145</v>
      </c>
    </row>
    <row r="45" spans="1:1" x14ac:dyDescent="0.25">
      <c r="A45" t="s">
        <v>147</v>
      </c>
    </row>
    <row r="46" spans="1:1" x14ac:dyDescent="0.25">
      <c r="A46" t="s">
        <v>149</v>
      </c>
    </row>
    <row r="47" spans="1:1" x14ac:dyDescent="0.25">
      <c r="A47" t="s">
        <v>153</v>
      </c>
    </row>
    <row r="48" spans="1:1" x14ac:dyDescent="0.25">
      <c r="A48" t="s">
        <v>155</v>
      </c>
    </row>
    <row r="49" spans="1:1" x14ac:dyDescent="0.25">
      <c r="A49" t="s">
        <v>157</v>
      </c>
    </row>
    <row r="50" spans="1:1" x14ac:dyDescent="0.25">
      <c r="A50" t="s">
        <v>163</v>
      </c>
    </row>
    <row r="51" spans="1:1" x14ac:dyDescent="0.25">
      <c r="A51" t="s">
        <v>171</v>
      </c>
    </row>
    <row r="52" spans="1:1" x14ac:dyDescent="0.25">
      <c r="A52" t="s">
        <v>169</v>
      </c>
    </row>
    <row r="53" spans="1:1" x14ac:dyDescent="0.25">
      <c r="A53" t="s">
        <v>173</v>
      </c>
    </row>
    <row r="54" spans="1:1" x14ac:dyDescent="0.25">
      <c r="A54" t="s">
        <v>175</v>
      </c>
    </row>
    <row r="55" spans="1:1" x14ac:dyDescent="0.25">
      <c r="A55" t="s">
        <v>159</v>
      </c>
    </row>
    <row r="56" spans="1:1" x14ac:dyDescent="0.25">
      <c r="A56" t="s">
        <v>181</v>
      </c>
    </row>
    <row r="57" spans="1:1" x14ac:dyDescent="0.25">
      <c r="A57" t="s">
        <v>183</v>
      </c>
    </row>
    <row r="58" spans="1:1" x14ac:dyDescent="0.25">
      <c r="A58" t="s">
        <v>185</v>
      </c>
    </row>
    <row r="59" spans="1:1" x14ac:dyDescent="0.25">
      <c r="A59" t="s">
        <v>179</v>
      </c>
    </row>
    <row r="60" spans="1:1" x14ac:dyDescent="0.25">
      <c r="A60" t="s">
        <v>191</v>
      </c>
    </row>
    <row r="61" spans="1:1" x14ac:dyDescent="0.25">
      <c r="A61" t="s">
        <v>193</v>
      </c>
    </row>
    <row r="62" spans="1:1" x14ac:dyDescent="0.25">
      <c r="A62" t="s">
        <v>197</v>
      </c>
    </row>
    <row r="63" spans="1:1" x14ac:dyDescent="0.25">
      <c r="A63" t="s">
        <v>199</v>
      </c>
    </row>
    <row r="64" spans="1:1" x14ac:dyDescent="0.25">
      <c r="A64" t="s">
        <v>201</v>
      </c>
    </row>
    <row r="65" spans="1:1" x14ac:dyDescent="0.25">
      <c r="A65" t="s">
        <v>203</v>
      </c>
    </row>
    <row r="66" spans="1:1" x14ac:dyDescent="0.25">
      <c r="A66" t="s">
        <v>205</v>
      </c>
    </row>
    <row r="67" spans="1:1" x14ac:dyDescent="0.25">
      <c r="A67" t="s">
        <v>207</v>
      </c>
    </row>
    <row r="68" spans="1:1" x14ac:dyDescent="0.25">
      <c r="A68" t="s">
        <v>217</v>
      </c>
    </row>
    <row r="69" spans="1:1" x14ac:dyDescent="0.25">
      <c r="A69" t="s">
        <v>211</v>
      </c>
    </row>
    <row r="70" spans="1:1" x14ac:dyDescent="0.25">
      <c r="A70" t="s">
        <v>219</v>
      </c>
    </row>
    <row r="71" spans="1:1" x14ac:dyDescent="0.25">
      <c r="A71" t="s">
        <v>223</v>
      </c>
    </row>
    <row r="72" spans="1:1" x14ac:dyDescent="0.25">
      <c r="A72" t="s">
        <v>225</v>
      </c>
    </row>
    <row r="73" spans="1:1" x14ac:dyDescent="0.25">
      <c r="A73" t="s">
        <v>227</v>
      </c>
    </row>
    <row r="74" spans="1:1" x14ac:dyDescent="0.25">
      <c r="A74" t="s">
        <v>231</v>
      </c>
    </row>
    <row r="75" spans="1:1" x14ac:dyDescent="0.25">
      <c r="A75" t="s">
        <v>233</v>
      </c>
    </row>
    <row r="76" spans="1:1" x14ac:dyDescent="0.25">
      <c r="A76" t="s">
        <v>237</v>
      </c>
    </row>
    <row r="77" spans="1:1" x14ac:dyDescent="0.25">
      <c r="A77" t="s">
        <v>239</v>
      </c>
    </row>
    <row r="78" spans="1:1" x14ac:dyDescent="0.25">
      <c r="A78" t="s">
        <v>235</v>
      </c>
    </row>
    <row r="79" spans="1:1" x14ac:dyDescent="0.25">
      <c r="A79" t="s">
        <v>245</v>
      </c>
    </row>
    <row r="80" spans="1:1" x14ac:dyDescent="0.25">
      <c r="A80" t="s">
        <v>247</v>
      </c>
    </row>
    <row r="81" spans="1:1" x14ac:dyDescent="0.25">
      <c r="A81" t="s">
        <v>251</v>
      </c>
    </row>
    <row r="82" spans="1:1" x14ac:dyDescent="0.25">
      <c r="A82" t="s">
        <v>257</v>
      </c>
    </row>
    <row r="83" spans="1:1" x14ac:dyDescent="0.25">
      <c r="A83" t="s">
        <v>259</v>
      </c>
    </row>
    <row r="84" spans="1:1" x14ac:dyDescent="0.25">
      <c r="A84" t="s">
        <v>261</v>
      </c>
    </row>
    <row r="85" spans="1:1" x14ac:dyDescent="0.25">
      <c r="A85" t="s">
        <v>249</v>
      </c>
    </row>
    <row r="86" spans="1:1" x14ac:dyDescent="0.25">
      <c r="A86" t="s">
        <v>263</v>
      </c>
    </row>
    <row r="87" spans="1:1" x14ac:dyDescent="0.25">
      <c r="A87" t="s">
        <v>267</v>
      </c>
    </row>
    <row r="88" spans="1:1" x14ac:dyDescent="0.25">
      <c r="A88" t="s">
        <v>269</v>
      </c>
    </row>
    <row r="89" spans="1:1" x14ac:dyDescent="0.25">
      <c r="A89" t="s">
        <v>285</v>
      </c>
    </row>
    <row r="90" spans="1:1" x14ac:dyDescent="0.25">
      <c r="A90" t="s">
        <v>313</v>
      </c>
    </row>
    <row r="91" spans="1:1" x14ac:dyDescent="0.25">
      <c r="A91" t="s">
        <v>311</v>
      </c>
    </row>
    <row r="92" spans="1:1" x14ac:dyDescent="0.25">
      <c r="A92" t="s">
        <v>321</v>
      </c>
    </row>
    <row r="93" spans="1:1" x14ac:dyDescent="0.25">
      <c r="A93" t="s">
        <v>325</v>
      </c>
    </row>
    <row r="94" spans="1:1" x14ac:dyDescent="0.25">
      <c r="A94" t="s">
        <v>295</v>
      </c>
    </row>
    <row r="95" spans="1:1" x14ac:dyDescent="0.25">
      <c r="A95" t="s">
        <v>293</v>
      </c>
    </row>
    <row r="96" spans="1:1" x14ac:dyDescent="0.25">
      <c r="A96" t="s">
        <v>299</v>
      </c>
    </row>
    <row r="97" spans="1:1" x14ac:dyDescent="0.25">
      <c r="A97" t="s">
        <v>305</v>
      </c>
    </row>
    <row r="98" spans="1:1" x14ac:dyDescent="0.25">
      <c r="A98" t="s">
        <v>303</v>
      </c>
    </row>
    <row r="99" spans="1:1" x14ac:dyDescent="0.25">
      <c r="A99" t="s">
        <v>307</v>
      </c>
    </row>
    <row r="100" spans="1:1" x14ac:dyDescent="0.25">
      <c r="A100" t="s">
        <v>323</v>
      </c>
    </row>
    <row r="101" spans="1:1" x14ac:dyDescent="0.25">
      <c r="A101" t="s">
        <v>329</v>
      </c>
    </row>
    <row r="102" spans="1:1" x14ac:dyDescent="0.25">
      <c r="A102" t="s">
        <v>333</v>
      </c>
    </row>
    <row r="103" spans="1:1" x14ac:dyDescent="0.25">
      <c r="A103" t="s">
        <v>337</v>
      </c>
    </row>
    <row r="104" spans="1:1" x14ac:dyDescent="0.25">
      <c r="A104" t="s">
        <v>339</v>
      </c>
    </row>
    <row r="105" spans="1:1" x14ac:dyDescent="0.25">
      <c r="A105" t="s">
        <v>341</v>
      </c>
    </row>
    <row r="106" spans="1:1" x14ac:dyDescent="0.25">
      <c r="A106" t="s">
        <v>343</v>
      </c>
    </row>
    <row r="107" spans="1:1" x14ac:dyDescent="0.25">
      <c r="A107" t="s">
        <v>345</v>
      </c>
    </row>
    <row r="108" spans="1:1" x14ac:dyDescent="0.25">
      <c r="A108" t="s">
        <v>347</v>
      </c>
    </row>
    <row r="109" spans="1:1" x14ac:dyDescent="0.25">
      <c r="A109" t="s">
        <v>351</v>
      </c>
    </row>
    <row r="110" spans="1:1" x14ac:dyDescent="0.25">
      <c r="A110" t="s">
        <v>353</v>
      </c>
    </row>
    <row r="111" spans="1:1" x14ac:dyDescent="0.25">
      <c r="A111" t="s">
        <v>355</v>
      </c>
    </row>
    <row r="112" spans="1:1" x14ac:dyDescent="0.25">
      <c r="A112" t="s">
        <v>357</v>
      </c>
    </row>
    <row r="113" spans="1:1" x14ac:dyDescent="0.25">
      <c r="A113" t="s">
        <v>349</v>
      </c>
    </row>
    <row r="114" spans="1:1" x14ac:dyDescent="0.25">
      <c r="A114" t="s">
        <v>359</v>
      </c>
    </row>
    <row r="115" spans="1:1" x14ac:dyDescent="0.25">
      <c r="A115" t="s">
        <v>365</v>
      </c>
    </row>
    <row r="116" spans="1:1" x14ac:dyDescent="0.25">
      <c r="A116" t="s">
        <v>369</v>
      </c>
    </row>
    <row r="117" spans="1:1" x14ac:dyDescent="0.25">
      <c r="A117" t="s">
        <v>371</v>
      </c>
    </row>
    <row r="118" spans="1:1" x14ac:dyDescent="0.25">
      <c r="A118" t="s">
        <v>373</v>
      </c>
    </row>
    <row r="119" spans="1:1" x14ac:dyDescent="0.25">
      <c r="A119" t="s">
        <v>377</v>
      </c>
    </row>
    <row r="120" spans="1:1" x14ac:dyDescent="0.25">
      <c r="A120" t="s">
        <v>379</v>
      </c>
    </row>
    <row r="121" spans="1:1" x14ac:dyDescent="0.25">
      <c r="A121" t="s">
        <v>381</v>
      </c>
    </row>
    <row r="122" spans="1:1" x14ac:dyDescent="0.25">
      <c r="A122" t="s">
        <v>393</v>
      </c>
    </row>
    <row r="123" spans="1:1" x14ac:dyDescent="0.25">
      <c r="A123" t="s">
        <v>395</v>
      </c>
    </row>
    <row r="124" spans="1:1" x14ac:dyDescent="0.25">
      <c r="A124" t="s">
        <v>403</v>
      </c>
    </row>
    <row r="125" spans="1:1" x14ac:dyDescent="0.25">
      <c r="A125" t="s">
        <v>405</v>
      </c>
    </row>
    <row r="126" spans="1:1" x14ac:dyDescent="0.25">
      <c r="A126" t="s">
        <v>409</v>
      </c>
    </row>
    <row r="127" spans="1:1" x14ac:dyDescent="0.25">
      <c r="A127" t="s">
        <v>411</v>
      </c>
    </row>
    <row r="128" spans="1:1" x14ac:dyDescent="0.25">
      <c r="A128" t="s">
        <v>413</v>
      </c>
    </row>
    <row r="129" spans="1:1" x14ac:dyDescent="0.25">
      <c r="A129" t="s">
        <v>407</v>
      </c>
    </row>
    <row r="130" spans="1:1" x14ac:dyDescent="0.25">
      <c r="A130" t="s">
        <v>417</v>
      </c>
    </row>
    <row r="131" spans="1:1" x14ac:dyDescent="0.25">
      <c r="A131" t="s">
        <v>419</v>
      </c>
    </row>
    <row r="132" spans="1:1" x14ac:dyDescent="0.25">
      <c r="A132" t="s">
        <v>421</v>
      </c>
    </row>
    <row r="133" spans="1:1" x14ac:dyDescent="0.25">
      <c r="A133" t="s">
        <v>425</v>
      </c>
    </row>
    <row r="134" spans="1:1" x14ac:dyDescent="0.25">
      <c r="A134" t="s">
        <v>437</v>
      </c>
    </row>
    <row r="135" spans="1:1" x14ac:dyDescent="0.25">
      <c r="A135" t="s">
        <v>441</v>
      </c>
    </row>
    <row r="136" spans="1:1" x14ac:dyDescent="0.25">
      <c r="A136" t="s">
        <v>443</v>
      </c>
    </row>
    <row r="137" spans="1:1" x14ac:dyDescent="0.25">
      <c r="A137" t="s">
        <v>427</v>
      </c>
    </row>
    <row r="138" spans="1:1" x14ac:dyDescent="0.25">
      <c r="A138" t="s">
        <v>447</v>
      </c>
    </row>
    <row r="139" spans="1:1" x14ac:dyDescent="0.25">
      <c r="A139" t="s">
        <v>451</v>
      </c>
    </row>
    <row r="140" spans="1:1" x14ac:dyDescent="0.25">
      <c r="A140" t="s">
        <v>453</v>
      </c>
    </row>
    <row r="141" spans="1:1" x14ac:dyDescent="0.25">
      <c r="A141" t="s">
        <v>457</v>
      </c>
    </row>
    <row r="142" spans="1:1" x14ac:dyDescent="0.25">
      <c r="A142" t="s">
        <v>459</v>
      </c>
    </row>
    <row r="143" spans="1:1" x14ac:dyDescent="0.25">
      <c r="A143" t="s">
        <v>461</v>
      </c>
    </row>
    <row r="144" spans="1:1" x14ac:dyDescent="0.25">
      <c r="A144" t="s">
        <v>463</v>
      </c>
    </row>
    <row r="145" spans="1:1" x14ac:dyDescent="0.25">
      <c r="A145" t="s">
        <v>465</v>
      </c>
    </row>
    <row r="146" spans="1:1" x14ac:dyDescent="0.25">
      <c r="A146" t="s">
        <v>469</v>
      </c>
    </row>
    <row r="147" spans="1:1" x14ac:dyDescent="0.25">
      <c r="A147" t="s">
        <v>471</v>
      </c>
    </row>
    <row r="148" spans="1:1" x14ac:dyDescent="0.25">
      <c r="A148" t="s">
        <v>473</v>
      </c>
    </row>
    <row r="149" spans="1:1" x14ac:dyDescent="0.25">
      <c r="A149" t="s">
        <v>475</v>
      </c>
    </row>
    <row r="150" spans="1:1" x14ac:dyDescent="0.25">
      <c r="A150" t="s">
        <v>481</v>
      </c>
    </row>
    <row r="151" spans="1:1" x14ac:dyDescent="0.25">
      <c r="A151" t="s">
        <v>483</v>
      </c>
    </row>
    <row r="152" spans="1:1" x14ac:dyDescent="0.25">
      <c r="A152" t="s">
        <v>485</v>
      </c>
    </row>
    <row r="153" spans="1:1" x14ac:dyDescent="0.25">
      <c r="A153" t="s">
        <v>489</v>
      </c>
    </row>
    <row r="154" spans="1:1" x14ac:dyDescent="0.25">
      <c r="A154" t="s">
        <v>495</v>
      </c>
    </row>
    <row r="155" spans="1:1" x14ac:dyDescent="0.25">
      <c r="A155" t="s">
        <v>499</v>
      </c>
    </row>
    <row r="156" spans="1:1" x14ac:dyDescent="0.25">
      <c r="A156" t="s">
        <v>501</v>
      </c>
    </row>
    <row r="157" spans="1:1" x14ac:dyDescent="0.25">
      <c r="A157" t="s">
        <v>507</v>
      </c>
    </row>
    <row r="158" spans="1:1" x14ac:dyDescent="0.25">
      <c r="A158" t="s">
        <v>517</v>
      </c>
    </row>
    <row r="159" spans="1:1" x14ac:dyDescent="0.25">
      <c r="A159" t="s">
        <v>519</v>
      </c>
    </row>
    <row r="160" spans="1:1" x14ac:dyDescent="0.25">
      <c r="A160" t="s">
        <v>513</v>
      </c>
    </row>
    <row r="161" spans="1:1" x14ac:dyDescent="0.25">
      <c r="A161" t="s">
        <v>521</v>
      </c>
    </row>
    <row r="162" spans="1:1" x14ac:dyDescent="0.25">
      <c r="A162" t="s">
        <v>525</v>
      </c>
    </row>
    <row r="163" spans="1:1" x14ac:dyDescent="0.25">
      <c r="A163" t="s">
        <v>527</v>
      </c>
    </row>
    <row r="164" spans="1:1" x14ac:dyDescent="0.25">
      <c r="A164" t="s">
        <v>529</v>
      </c>
    </row>
    <row r="165" spans="1:1" x14ac:dyDescent="0.25">
      <c r="A165" t="s">
        <v>533</v>
      </c>
    </row>
    <row r="166" spans="1:1" x14ac:dyDescent="0.25">
      <c r="A166" t="s">
        <v>535</v>
      </c>
    </row>
    <row r="167" spans="1:1" x14ac:dyDescent="0.25">
      <c r="A167" t="s">
        <v>537</v>
      </c>
    </row>
    <row r="168" spans="1:1" x14ac:dyDescent="0.25">
      <c r="A168" t="s">
        <v>541</v>
      </c>
    </row>
    <row r="169" spans="1:1" x14ac:dyDescent="0.25">
      <c r="A169" t="s">
        <v>545</v>
      </c>
    </row>
    <row r="170" spans="1:1" x14ac:dyDescent="0.25">
      <c r="A170" t="s">
        <v>549</v>
      </c>
    </row>
    <row r="171" spans="1:1" x14ac:dyDescent="0.25">
      <c r="A171" t="s">
        <v>551</v>
      </c>
    </row>
    <row r="172" spans="1:1" x14ac:dyDescent="0.25">
      <c r="A172" t="s">
        <v>557</v>
      </c>
    </row>
    <row r="173" spans="1:1" x14ac:dyDescent="0.25">
      <c r="A173" t="s">
        <v>561</v>
      </c>
    </row>
    <row r="174" spans="1:1" x14ac:dyDescent="0.25">
      <c r="A174" t="s">
        <v>569</v>
      </c>
    </row>
    <row r="175" spans="1:1" x14ac:dyDescent="0.25">
      <c r="A175" t="s">
        <v>573</v>
      </c>
    </row>
    <row r="176" spans="1:1" x14ac:dyDescent="0.25">
      <c r="A176" t="s">
        <v>575</v>
      </c>
    </row>
    <row r="177" spans="1:1" x14ac:dyDescent="0.25">
      <c r="A177" t="s">
        <v>577</v>
      </c>
    </row>
    <row r="178" spans="1:1" x14ac:dyDescent="0.25">
      <c r="A178" t="s">
        <v>579</v>
      </c>
    </row>
    <row r="179" spans="1:1" x14ac:dyDescent="0.25">
      <c r="A179" t="s">
        <v>581</v>
      </c>
    </row>
    <row r="180" spans="1:1" x14ac:dyDescent="0.25">
      <c r="A180" t="s">
        <v>583</v>
      </c>
    </row>
    <row r="181" spans="1:1" x14ac:dyDescent="0.25">
      <c r="A181" t="s">
        <v>585</v>
      </c>
    </row>
    <row r="182" spans="1:1" x14ac:dyDescent="0.25">
      <c r="A182" t="s">
        <v>587</v>
      </c>
    </row>
    <row r="183" spans="1:1" x14ac:dyDescent="0.25">
      <c r="A183" t="s">
        <v>589</v>
      </c>
    </row>
    <row r="184" spans="1:1" x14ac:dyDescent="0.25">
      <c r="A184" t="s">
        <v>591</v>
      </c>
    </row>
    <row r="185" spans="1:1" x14ac:dyDescent="0.25">
      <c r="A185" t="s">
        <v>597</v>
      </c>
    </row>
    <row r="186" spans="1:1" x14ac:dyDescent="0.25">
      <c r="A186" t="s">
        <v>599</v>
      </c>
    </row>
    <row r="187" spans="1:1" x14ac:dyDescent="0.25">
      <c r="A187" t="s">
        <v>601</v>
      </c>
    </row>
    <row r="188" spans="1:1" x14ac:dyDescent="0.25">
      <c r="A188" t="s">
        <v>595</v>
      </c>
    </row>
    <row r="189" spans="1:1" x14ac:dyDescent="0.25">
      <c r="A189" t="s">
        <v>603</v>
      </c>
    </row>
    <row r="190" spans="1:1" x14ac:dyDescent="0.25">
      <c r="A190" t="s">
        <v>607</v>
      </c>
    </row>
    <row r="191" spans="1:1" x14ac:dyDescent="0.25">
      <c r="A191" t="s">
        <v>609</v>
      </c>
    </row>
    <row r="192" spans="1:1" x14ac:dyDescent="0.25">
      <c r="A192" t="s">
        <v>611</v>
      </c>
    </row>
    <row r="193" spans="1:1" x14ac:dyDescent="0.25">
      <c r="A193" t="s">
        <v>593</v>
      </c>
    </row>
    <row r="194" spans="1:1" x14ac:dyDescent="0.25">
      <c r="A194" t="s">
        <v>613</v>
      </c>
    </row>
    <row r="195" spans="1:1" x14ac:dyDescent="0.25">
      <c r="A195" t="s">
        <v>615</v>
      </c>
    </row>
    <row r="196" spans="1:1" x14ac:dyDescent="0.25">
      <c r="A196" t="s">
        <v>619</v>
      </c>
    </row>
    <row r="197" spans="1:1" x14ac:dyDescent="0.25">
      <c r="A197" t="s">
        <v>623</v>
      </c>
    </row>
    <row r="198" spans="1:1" x14ac:dyDescent="0.25">
      <c r="A198" t="s">
        <v>625</v>
      </c>
    </row>
    <row r="199" spans="1:1" x14ac:dyDescent="0.25">
      <c r="A199" t="s">
        <v>627</v>
      </c>
    </row>
    <row r="200" spans="1:1" x14ac:dyDescent="0.25">
      <c r="A200" t="s">
        <v>631</v>
      </c>
    </row>
    <row r="201" spans="1:1" x14ac:dyDescent="0.25">
      <c r="A201" t="s">
        <v>635</v>
      </c>
    </row>
    <row r="202" spans="1:1" x14ac:dyDescent="0.25">
      <c r="A202" t="s">
        <v>639</v>
      </c>
    </row>
    <row r="203" spans="1:1" x14ac:dyDescent="0.25">
      <c r="A203" t="s">
        <v>643</v>
      </c>
    </row>
    <row r="204" spans="1:1" x14ac:dyDescent="0.25">
      <c r="A204" t="s">
        <v>645</v>
      </c>
    </row>
    <row r="205" spans="1:1" x14ac:dyDescent="0.25">
      <c r="A205" t="s">
        <v>641</v>
      </c>
    </row>
    <row r="206" spans="1:1" x14ac:dyDescent="0.25">
      <c r="A206" t="s">
        <v>653</v>
      </c>
    </row>
    <row r="207" spans="1:1" x14ac:dyDescent="0.25">
      <c r="A207" t="s">
        <v>659</v>
      </c>
    </row>
    <row r="208" spans="1:1" x14ac:dyDescent="0.25">
      <c r="A208" t="s">
        <v>663</v>
      </c>
    </row>
    <row r="209" spans="1:1" x14ac:dyDescent="0.25">
      <c r="A209" t="s">
        <v>669</v>
      </c>
    </row>
    <row r="210" spans="1:1" x14ac:dyDescent="0.25">
      <c r="A210" t="s">
        <v>657</v>
      </c>
    </row>
    <row r="211" spans="1:1" x14ac:dyDescent="0.25">
      <c r="A211" t="s">
        <v>673</v>
      </c>
    </row>
    <row r="212" spans="1:1" x14ac:dyDescent="0.25">
      <c r="A212" t="s">
        <v>675</v>
      </c>
    </row>
    <row r="213" spans="1:1" x14ac:dyDescent="0.25">
      <c r="A213" t="s">
        <v>677</v>
      </c>
    </row>
    <row r="214" spans="1:1" x14ac:dyDescent="0.25">
      <c r="A214" t="s">
        <v>679</v>
      </c>
    </row>
    <row r="215" spans="1:1" x14ac:dyDescent="0.25">
      <c r="A215" t="s">
        <v>683</v>
      </c>
    </row>
    <row r="216" spans="1:1" x14ac:dyDescent="0.25">
      <c r="A216" t="s">
        <v>687</v>
      </c>
    </row>
    <row r="217" spans="1:1" x14ac:dyDescent="0.25">
      <c r="A217" t="s">
        <v>689</v>
      </c>
    </row>
    <row r="218" spans="1:1" x14ac:dyDescent="0.25">
      <c r="A218" t="s">
        <v>691</v>
      </c>
    </row>
    <row r="219" spans="1:1" x14ac:dyDescent="0.25">
      <c r="A219" t="s">
        <v>685</v>
      </c>
    </row>
    <row r="220" spans="1:1" x14ac:dyDescent="0.25">
      <c r="A220" t="s">
        <v>695</v>
      </c>
    </row>
    <row r="221" spans="1:1" x14ac:dyDescent="0.25">
      <c r="A221" t="s">
        <v>697</v>
      </c>
    </row>
    <row r="222" spans="1:1" x14ac:dyDescent="0.25">
      <c r="A222" t="s">
        <v>699</v>
      </c>
    </row>
    <row r="223" spans="1:1" x14ac:dyDescent="0.25">
      <c r="A223" t="s">
        <v>701</v>
      </c>
    </row>
    <row r="224" spans="1:1" x14ac:dyDescent="0.25">
      <c r="A224" t="s">
        <v>705</v>
      </c>
    </row>
    <row r="225" spans="1:1" x14ac:dyDescent="0.25">
      <c r="A225" t="s">
        <v>707</v>
      </c>
    </row>
    <row r="226" spans="1:1" x14ac:dyDescent="0.25">
      <c r="A226" t="s">
        <v>703</v>
      </c>
    </row>
    <row r="227" spans="1:1" x14ac:dyDescent="0.25">
      <c r="A227" t="s">
        <v>715</v>
      </c>
    </row>
    <row r="228" spans="1:1" x14ac:dyDescent="0.25">
      <c r="A228" t="s">
        <v>719</v>
      </c>
    </row>
    <row r="229" spans="1:1" x14ac:dyDescent="0.25">
      <c r="A229" t="s">
        <v>725</v>
      </c>
    </row>
    <row r="230" spans="1:1" x14ac:dyDescent="0.25">
      <c r="A230" t="s">
        <v>727</v>
      </c>
    </row>
    <row r="231" spans="1:1" x14ac:dyDescent="0.25">
      <c r="A231" t="s">
        <v>729</v>
      </c>
    </row>
    <row r="232" spans="1:1" x14ac:dyDescent="0.25">
      <c r="A232" t="s">
        <v>731</v>
      </c>
    </row>
    <row r="233" spans="1:1" x14ac:dyDescent="0.25">
      <c r="A233" t="s">
        <v>733</v>
      </c>
    </row>
    <row r="234" spans="1:1" x14ac:dyDescent="0.25">
      <c r="A234" t="s">
        <v>735</v>
      </c>
    </row>
    <row r="235" spans="1:1" x14ac:dyDescent="0.25">
      <c r="A235" t="s">
        <v>737</v>
      </c>
    </row>
    <row r="236" spans="1:1" x14ac:dyDescent="0.25">
      <c r="A236" t="s">
        <v>739</v>
      </c>
    </row>
    <row r="237" spans="1:1" x14ac:dyDescent="0.25">
      <c r="A237" t="s">
        <v>741</v>
      </c>
    </row>
    <row r="238" spans="1:1" x14ac:dyDescent="0.25">
      <c r="A238" t="s">
        <v>745</v>
      </c>
    </row>
    <row r="239" spans="1:1" x14ac:dyDescent="0.25">
      <c r="A239" t="s">
        <v>749</v>
      </c>
    </row>
    <row r="240" spans="1:1" x14ac:dyDescent="0.25">
      <c r="A240" t="s">
        <v>751</v>
      </c>
    </row>
    <row r="241" spans="1:1" x14ac:dyDescent="0.25">
      <c r="A241" t="s">
        <v>753</v>
      </c>
    </row>
    <row r="242" spans="1:1" x14ac:dyDescent="0.25">
      <c r="A242" t="s">
        <v>755</v>
      </c>
    </row>
    <row r="243" spans="1:1" x14ac:dyDescent="0.25">
      <c r="A243" t="s">
        <v>743</v>
      </c>
    </row>
    <row r="244" spans="1:1" x14ac:dyDescent="0.25">
      <c r="A244" t="s">
        <v>759</v>
      </c>
    </row>
    <row r="245" spans="1:1" x14ac:dyDescent="0.25">
      <c r="A245" t="s">
        <v>763</v>
      </c>
    </row>
    <row r="246" spans="1:1" x14ac:dyDescent="0.25">
      <c r="A246" t="s">
        <v>767</v>
      </c>
    </row>
    <row r="247" spans="1:1" x14ac:dyDescent="0.25">
      <c r="A247" t="s">
        <v>771</v>
      </c>
    </row>
    <row r="248" spans="1:1" x14ac:dyDescent="0.25">
      <c r="A248" t="s">
        <v>773</v>
      </c>
    </row>
    <row r="249" spans="1:1" x14ac:dyDescent="0.25">
      <c r="A249" t="s">
        <v>775</v>
      </c>
    </row>
    <row r="250" spans="1:1" x14ac:dyDescent="0.25">
      <c r="A250" t="s">
        <v>777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261"/>
  <sheetViews>
    <sheetView tabSelected="1" workbookViewId="0">
      <selection activeCell="C262" sqref="C262"/>
    </sheetView>
  </sheetViews>
  <sheetFormatPr defaultRowHeight="15" x14ac:dyDescent="0.25"/>
  <cols>
    <col min="1" max="1" width="9.140625" style="20"/>
    <col min="2" max="2" width="12.140625" style="20" bestFit="1" customWidth="1"/>
    <col min="3" max="6" width="9.140625" style="20"/>
    <col min="7" max="8" width="0" style="20" hidden="1" customWidth="1"/>
    <col min="9" max="16384" width="9.140625" style="20"/>
  </cols>
  <sheetData>
    <row r="1" spans="1:4" x14ac:dyDescent="0.25">
      <c r="A1" s="20" t="s">
        <v>827</v>
      </c>
      <c r="B1" s="20" t="s">
        <v>828</v>
      </c>
      <c r="C1" s="20" t="s">
        <v>829</v>
      </c>
      <c r="D1" s="20" t="s">
        <v>830</v>
      </c>
    </row>
    <row r="2" spans="1:4" x14ac:dyDescent="0.25">
      <c r="A2" s="20" t="s">
        <v>831</v>
      </c>
      <c r="B2" s="20" t="s">
        <v>832</v>
      </c>
      <c r="C2" s="20" t="s">
        <v>833</v>
      </c>
      <c r="D2" s="20" t="s">
        <v>834</v>
      </c>
    </row>
    <row r="3" spans="1:4" x14ac:dyDescent="0.25">
      <c r="A3" s="20">
        <v>1</v>
      </c>
      <c r="B3" t="s">
        <v>1</v>
      </c>
      <c r="C3">
        <v>3.15</v>
      </c>
      <c r="D3" s="20">
        <v>1</v>
      </c>
    </row>
    <row r="4" spans="1:4" x14ac:dyDescent="0.25">
      <c r="A4" s="20">
        <v>2</v>
      </c>
      <c r="B4" t="s">
        <v>7</v>
      </c>
      <c r="C4">
        <v>1.56</v>
      </c>
      <c r="D4" s="20">
        <v>1</v>
      </c>
    </row>
    <row r="5" spans="1:4" x14ac:dyDescent="0.25">
      <c r="A5" s="20">
        <v>3</v>
      </c>
      <c r="B5" t="s">
        <v>11</v>
      </c>
      <c r="C5">
        <v>1.35</v>
      </c>
      <c r="D5" s="20">
        <v>1</v>
      </c>
    </row>
    <row r="6" spans="1:4" x14ac:dyDescent="0.25">
      <c r="A6" s="20">
        <v>4</v>
      </c>
      <c r="B6" t="s">
        <v>13</v>
      </c>
      <c r="C6">
        <v>6.17</v>
      </c>
      <c r="D6" s="20">
        <v>1</v>
      </c>
    </row>
    <row r="7" spans="1:4" x14ac:dyDescent="0.25">
      <c r="A7" s="20">
        <v>5</v>
      </c>
      <c r="B7" t="s">
        <v>17</v>
      </c>
      <c r="C7">
        <v>6.33</v>
      </c>
      <c r="D7" s="20">
        <v>1</v>
      </c>
    </row>
    <row r="8" spans="1:4" x14ac:dyDescent="0.25">
      <c r="A8" s="20">
        <v>6</v>
      </c>
      <c r="B8" t="s">
        <v>19</v>
      </c>
      <c r="C8">
        <v>6.2</v>
      </c>
      <c r="D8" s="20">
        <v>1</v>
      </c>
    </row>
    <row r="9" spans="1:4" x14ac:dyDescent="0.25">
      <c r="A9" s="20">
        <v>7</v>
      </c>
      <c r="B9" t="s">
        <v>21</v>
      </c>
      <c r="C9">
        <v>2.65</v>
      </c>
      <c r="D9" s="20">
        <v>1</v>
      </c>
    </row>
    <row r="10" spans="1:4" x14ac:dyDescent="0.25">
      <c r="A10" s="20">
        <v>8</v>
      </c>
      <c r="B10" t="s">
        <v>23</v>
      </c>
      <c r="C10">
        <v>2.14</v>
      </c>
      <c r="D10" s="20">
        <v>1</v>
      </c>
    </row>
    <row r="11" spans="1:4" x14ac:dyDescent="0.25">
      <c r="A11" s="20">
        <v>9</v>
      </c>
      <c r="B11" t="s">
        <v>25</v>
      </c>
      <c r="C11">
        <v>2.89</v>
      </c>
      <c r="D11" s="20">
        <v>1</v>
      </c>
    </row>
    <row r="12" spans="1:4" x14ac:dyDescent="0.25">
      <c r="A12" s="20">
        <v>10</v>
      </c>
      <c r="B12" t="s">
        <v>27</v>
      </c>
      <c r="C12">
        <v>6.1</v>
      </c>
      <c r="D12" s="20">
        <v>1</v>
      </c>
    </row>
    <row r="13" spans="1:4" x14ac:dyDescent="0.25">
      <c r="A13" s="20">
        <v>11</v>
      </c>
      <c r="B13" t="s">
        <v>29</v>
      </c>
      <c r="C13">
        <v>5.92</v>
      </c>
      <c r="D13" s="20">
        <v>1</v>
      </c>
    </row>
    <row r="14" spans="1:4" x14ac:dyDescent="0.25">
      <c r="A14" s="20">
        <v>12</v>
      </c>
      <c r="B14" t="s">
        <v>31</v>
      </c>
      <c r="C14">
        <v>3.55</v>
      </c>
      <c r="D14" s="20">
        <v>1</v>
      </c>
    </row>
    <row r="15" spans="1:4" x14ac:dyDescent="0.25">
      <c r="A15" s="20">
        <v>13</v>
      </c>
      <c r="B15" t="s">
        <v>33</v>
      </c>
      <c r="C15">
        <v>2.87</v>
      </c>
      <c r="D15" s="20">
        <v>1</v>
      </c>
    </row>
    <row r="16" spans="1:4" x14ac:dyDescent="0.25">
      <c r="A16" s="20">
        <v>14</v>
      </c>
      <c r="B16" t="s">
        <v>37</v>
      </c>
      <c r="C16">
        <v>2.97</v>
      </c>
      <c r="D16" s="20">
        <v>1</v>
      </c>
    </row>
    <row r="17" spans="1:4" x14ac:dyDescent="0.25">
      <c r="A17" s="20">
        <v>15</v>
      </c>
      <c r="B17" t="s">
        <v>39</v>
      </c>
      <c r="C17">
        <v>3.07</v>
      </c>
      <c r="D17" s="20">
        <v>1</v>
      </c>
    </row>
    <row r="18" spans="1:4" x14ac:dyDescent="0.25">
      <c r="A18" s="20">
        <v>16</v>
      </c>
      <c r="B18" t="s">
        <v>41</v>
      </c>
      <c r="C18">
        <v>4.1500000000000004</v>
      </c>
      <c r="D18" s="20">
        <v>1</v>
      </c>
    </row>
    <row r="19" spans="1:4" x14ac:dyDescent="0.25">
      <c r="A19" s="20">
        <v>17</v>
      </c>
      <c r="B19" t="s">
        <v>47</v>
      </c>
      <c r="C19">
        <v>3.5</v>
      </c>
      <c r="D19" s="20">
        <v>1</v>
      </c>
    </row>
    <row r="20" spans="1:4" x14ac:dyDescent="0.25">
      <c r="A20" s="20">
        <v>18</v>
      </c>
      <c r="B20" t="s">
        <v>51</v>
      </c>
      <c r="C20">
        <v>3.99</v>
      </c>
      <c r="D20" s="20">
        <v>1</v>
      </c>
    </row>
    <row r="21" spans="1:4" x14ac:dyDescent="0.25">
      <c r="A21" s="20">
        <v>19</v>
      </c>
      <c r="B21" t="s">
        <v>43</v>
      </c>
      <c r="C21">
        <v>2.8</v>
      </c>
      <c r="D21" s="20">
        <v>1</v>
      </c>
    </row>
    <row r="22" spans="1:4" x14ac:dyDescent="0.25">
      <c r="A22" s="20">
        <v>20</v>
      </c>
      <c r="B22" t="s">
        <v>55</v>
      </c>
      <c r="C22">
        <v>3.05</v>
      </c>
      <c r="D22" s="20">
        <v>1</v>
      </c>
    </row>
    <row r="23" spans="1:4" x14ac:dyDescent="0.25">
      <c r="A23" s="20">
        <v>21</v>
      </c>
      <c r="B23" t="s">
        <v>57</v>
      </c>
      <c r="C23">
        <v>2.7</v>
      </c>
      <c r="D23" s="20">
        <v>1</v>
      </c>
    </row>
    <row r="24" spans="1:4" x14ac:dyDescent="0.25">
      <c r="A24" s="20">
        <v>22</v>
      </c>
      <c r="B24" t="s">
        <v>59</v>
      </c>
      <c r="C24">
        <v>3.08</v>
      </c>
      <c r="D24" s="20">
        <v>1</v>
      </c>
    </row>
    <row r="25" spans="1:4" x14ac:dyDescent="0.25">
      <c r="A25" s="20">
        <v>23</v>
      </c>
      <c r="B25" t="s">
        <v>61</v>
      </c>
      <c r="C25">
        <v>2.12</v>
      </c>
      <c r="D25" s="20">
        <v>1</v>
      </c>
    </row>
    <row r="26" spans="1:4" x14ac:dyDescent="0.25">
      <c r="A26" s="20">
        <v>24</v>
      </c>
      <c r="B26" t="s">
        <v>65</v>
      </c>
      <c r="C26">
        <v>2.4</v>
      </c>
      <c r="D26" s="20">
        <v>1</v>
      </c>
    </row>
    <row r="27" spans="1:4" x14ac:dyDescent="0.25">
      <c r="A27" s="20">
        <v>25</v>
      </c>
      <c r="B27" t="s">
        <v>69</v>
      </c>
      <c r="C27">
        <v>2.2599999999999998</v>
      </c>
      <c r="D27" s="20">
        <v>1</v>
      </c>
    </row>
    <row r="28" spans="1:4" x14ac:dyDescent="0.25">
      <c r="A28" s="20">
        <v>26</v>
      </c>
      <c r="B28" t="s">
        <v>73</v>
      </c>
      <c r="C28">
        <v>7.85</v>
      </c>
      <c r="D28" s="20">
        <v>1</v>
      </c>
    </row>
    <row r="29" spans="1:4" x14ac:dyDescent="0.25">
      <c r="A29" s="20">
        <v>27</v>
      </c>
      <c r="B29" t="s">
        <v>75</v>
      </c>
      <c r="C29">
        <v>3.55</v>
      </c>
      <c r="D29" s="20">
        <v>1</v>
      </c>
    </row>
    <row r="30" spans="1:4" x14ac:dyDescent="0.25">
      <c r="A30" s="20">
        <v>28</v>
      </c>
      <c r="B30" t="s">
        <v>79</v>
      </c>
      <c r="C30">
        <v>3.46</v>
      </c>
      <c r="D30" s="20">
        <v>1</v>
      </c>
    </row>
    <row r="31" spans="1:4" x14ac:dyDescent="0.25">
      <c r="A31" s="20">
        <v>29</v>
      </c>
      <c r="B31" t="s">
        <v>81</v>
      </c>
      <c r="C31">
        <v>2.82</v>
      </c>
      <c r="D31" s="20">
        <v>1</v>
      </c>
    </row>
    <row r="32" spans="1:4" x14ac:dyDescent="0.25">
      <c r="A32" s="20">
        <v>30</v>
      </c>
      <c r="B32" t="s">
        <v>83</v>
      </c>
      <c r="C32">
        <v>3.35</v>
      </c>
      <c r="D32" s="20">
        <v>1</v>
      </c>
    </row>
    <row r="33" spans="1:4" x14ac:dyDescent="0.25">
      <c r="A33" s="20">
        <v>31</v>
      </c>
      <c r="B33" t="s">
        <v>87</v>
      </c>
      <c r="C33">
        <v>5.4</v>
      </c>
      <c r="D33" s="20">
        <v>1</v>
      </c>
    </row>
    <row r="34" spans="1:4" x14ac:dyDescent="0.25">
      <c r="A34" s="20">
        <v>32</v>
      </c>
      <c r="B34" t="s">
        <v>89</v>
      </c>
      <c r="C34">
        <v>6.37</v>
      </c>
      <c r="D34" s="20">
        <v>1</v>
      </c>
    </row>
    <row r="35" spans="1:4" x14ac:dyDescent="0.25">
      <c r="A35" s="20">
        <v>33</v>
      </c>
      <c r="B35" t="s">
        <v>93</v>
      </c>
      <c r="C35">
        <v>3.05</v>
      </c>
      <c r="D35" s="20">
        <v>1</v>
      </c>
    </row>
    <row r="36" spans="1:4" x14ac:dyDescent="0.25">
      <c r="A36" s="20">
        <v>34</v>
      </c>
      <c r="B36" t="s">
        <v>91</v>
      </c>
      <c r="C36">
        <v>3.25</v>
      </c>
      <c r="D36" s="20">
        <v>1</v>
      </c>
    </row>
    <row r="37" spans="1:4" x14ac:dyDescent="0.25">
      <c r="A37" s="20">
        <v>35</v>
      </c>
      <c r="B37" t="s">
        <v>95</v>
      </c>
      <c r="C37">
        <v>3.34</v>
      </c>
      <c r="D37" s="20">
        <v>1</v>
      </c>
    </row>
    <row r="38" spans="1:4" x14ac:dyDescent="0.25">
      <c r="A38" s="20">
        <v>36</v>
      </c>
      <c r="B38" t="s">
        <v>97</v>
      </c>
      <c r="C38">
        <v>4.09</v>
      </c>
      <c r="D38" s="20">
        <v>1</v>
      </c>
    </row>
    <row r="39" spans="1:4" x14ac:dyDescent="0.25">
      <c r="A39" s="20">
        <v>37</v>
      </c>
      <c r="B39" t="s">
        <v>99</v>
      </c>
      <c r="C39">
        <v>3.05</v>
      </c>
      <c r="D39" s="20">
        <v>1</v>
      </c>
    </row>
    <row r="40" spans="1:4" x14ac:dyDescent="0.25">
      <c r="A40" s="20">
        <v>38</v>
      </c>
      <c r="B40" t="s">
        <v>117</v>
      </c>
      <c r="C40">
        <v>7.31</v>
      </c>
      <c r="D40" s="20">
        <v>1</v>
      </c>
    </row>
    <row r="41" spans="1:4" x14ac:dyDescent="0.25">
      <c r="A41" s="20">
        <v>39</v>
      </c>
      <c r="B41" t="s">
        <v>119</v>
      </c>
      <c r="C41">
        <v>7.02</v>
      </c>
      <c r="D41" s="20">
        <v>1</v>
      </c>
    </row>
    <row r="42" spans="1:4" x14ac:dyDescent="0.25">
      <c r="A42" s="20">
        <v>40</v>
      </c>
      <c r="B42" t="s">
        <v>125</v>
      </c>
      <c r="C42">
        <v>2.44</v>
      </c>
      <c r="D42" s="20">
        <v>1</v>
      </c>
    </row>
    <row r="43" spans="1:4" x14ac:dyDescent="0.25">
      <c r="A43" s="20">
        <v>41</v>
      </c>
      <c r="B43" t="s">
        <v>129</v>
      </c>
      <c r="C43">
        <v>6.65</v>
      </c>
      <c r="D43" s="20">
        <v>1</v>
      </c>
    </row>
    <row r="44" spans="1:4" x14ac:dyDescent="0.25">
      <c r="A44" s="20">
        <v>42</v>
      </c>
      <c r="B44" t="s">
        <v>131</v>
      </c>
      <c r="C44">
        <v>7.05</v>
      </c>
      <c r="D44" s="20">
        <v>1</v>
      </c>
    </row>
    <row r="45" spans="1:4" x14ac:dyDescent="0.25">
      <c r="A45" s="20">
        <v>43</v>
      </c>
      <c r="B45" t="s">
        <v>137</v>
      </c>
      <c r="C45">
        <v>3.22</v>
      </c>
      <c r="D45" s="20">
        <v>1</v>
      </c>
    </row>
    <row r="46" spans="1:4" x14ac:dyDescent="0.25">
      <c r="A46" s="20">
        <v>44</v>
      </c>
      <c r="B46" t="s">
        <v>145</v>
      </c>
      <c r="C46">
        <v>3.08</v>
      </c>
      <c r="D46" s="20">
        <v>1</v>
      </c>
    </row>
    <row r="47" spans="1:4" x14ac:dyDescent="0.25">
      <c r="A47" s="20">
        <v>45</v>
      </c>
      <c r="B47" t="s">
        <v>147</v>
      </c>
      <c r="C47">
        <v>3.9</v>
      </c>
      <c r="D47" s="20">
        <v>1</v>
      </c>
    </row>
    <row r="48" spans="1:4" x14ac:dyDescent="0.25">
      <c r="A48" s="20">
        <v>46</v>
      </c>
      <c r="B48" t="s">
        <v>149</v>
      </c>
      <c r="C48">
        <v>3.29</v>
      </c>
      <c r="D48" s="20">
        <v>1</v>
      </c>
    </row>
    <row r="49" spans="1:4" x14ac:dyDescent="0.25">
      <c r="A49" s="20">
        <v>47</v>
      </c>
      <c r="B49" t="s">
        <v>153</v>
      </c>
      <c r="C49">
        <v>2.73</v>
      </c>
      <c r="D49" s="20">
        <v>1</v>
      </c>
    </row>
    <row r="50" spans="1:4" x14ac:dyDescent="0.25">
      <c r="A50" s="20">
        <v>48</v>
      </c>
      <c r="B50" t="s">
        <v>155</v>
      </c>
      <c r="C50">
        <v>2.33</v>
      </c>
      <c r="D50" s="20">
        <v>1</v>
      </c>
    </row>
    <row r="51" spans="1:4" x14ac:dyDescent="0.25">
      <c r="A51" s="20">
        <v>49</v>
      </c>
      <c r="B51" t="s">
        <v>157</v>
      </c>
      <c r="C51">
        <v>3.62</v>
      </c>
      <c r="D51" s="20">
        <v>1</v>
      </c>
    </row>
    <row r="52" spans="1:4" x14ac:dyDescent="0.25">
      <c r="A52" s="20">
        <v>50</v>
      </c>
      <c r="B52" t="s">
        <v>163</v>
      </c>
      <c r="C52">
        <v>3.56</v>
      </c>
      <c r="D52" s="20">
        <v>1</v>
      </c>
    </row>
    <row r="53" spans="1:4" x14ac:dyDescent="0.25">
      <c r="A53" s="20">
        <v>51</v>
      </c>
      <c r="B53" t="s">
        <v>171</v>
      </c>
      <c r="C53">
        <v>3.57</v>
      </c>
      <c r="D53" s="20">
        <v>1</v>
      </c>
    </row>
    <row r="54" spans="1:4" x14ac:dyDescent="0.25">
      <c r="A54" s="20">
        <v>52</v>
      </c>
      <c r="B54" t="s">
        <v>169</v>
      </c>
      <c r="C54">
        <v>3.92</v>
      </c>
      <c r="D54" s="20">
        <v>1</v>
      </c>
    </row>
    <row r="55" spans="1:4" x14ac:dyDescent="0.25">
      <c r="A55" s="20">
        <v>53</v>
      </c>
      <c r="B55" t="s">
        <v>173</v>
      </c>
      <c r="C55">
        <v>3.41</v>
      </c>
      <c r="D55" s="20">
        <v>1</v>
      </c>
    </row>
    <row r="56" spans="1:4" x14ac:dyDescent="0.25">
      <c r="A56" s="20">
        <v>54</v>
      </c>
      <c r="B56" t="s">
        <v>175</v>
      </c>
      <c r="C56">
        <v>2.04</v>
      </c>
      <c r="D56" s="20">
        <v>1</v>
      </c>
    </row>
    <row r="57" spans="1:4" x14ac:dyDescent="0.25">
      <c r="A57" s="20">
        <v>55</v>
      </c>
      <c r="B57" t="s">
        <v>159</v>
      </c>
      <c r="C57">
        <v>3.68</v>
      </c>
      <c r="D57" s="20">
        <v>1</v>
      </c>
    </row>
    <row r="58" spans="1:4" x14ac:dyDescent="0.25">
      <c r="A58" s="20">
        <v>56</v>
      </c>
      <c r="B58" t="s">
        <v>181</v>
      </c>
      <c r="C58">
        <v>2.37</v>
      </c>
      <c r="D58" s="20">
        <v>1</v>
      </c>
    </row>
    <row r="59" spans="1:4" x14ac:dyDescent="0.25">
      <c r="A59" s="20">
        <v>57</v>
      </c>
      <c r="B59" t="s">
        <v>183</v>
      </c>
      <c r="C59">
        <v>3.38</v>
      </c>
      <c r="D59" s="20">
        <v>1</v>
      </c>
    </row>
    <row r="60" spans="1:4" x14ac:dyDescent="0.25">
      <c r="A60" s="20">
        <v>58</v>
      </c>
      <c r="B60" t="s">
        <v>185</v>
      </c>
      <c r="C60">
        <v>4.1900000000000004</v>
      </c>
      <c r="D60" s="20">
        <v>1</v>
      </c>
    </row>
    <row r="61" spans="1:4" x14ac:dyDescent="0.25">
      <c r="A61" s="20">
        <v>59</v>
      </c>
      <c r="B61" t="s">
        <v>179</v>
      </c>
      <c r="C61">
        <v>2.4900000000000002</v>
      </c>
      <c r="D61" s="20">
        <v>1</v>
      </c>
    </row>
    <row r="62" spans="1:4" x14ac:dyDescent="0.25">
      <c r="A62" s="20">
        <v>60</v>
      </c>
      <c r="B62" t="s">
        <v>191</v>
      </c>
      <c r="C62">
        <v>4.68</v>
      </c>
      <c r="D62" s="20">
        <v>1</v>
      </c>
    </row>
    <row r="63" spans="1:4" x14ac:dyDescent="0.25">
      <c r="A63" s="20">
        <v>61</v>
      </c>
      <c r="B63" t="s">
        <v>193</v>
      </c>
      <c r="C63">
        <v>4.42</v>
      </c>
      <c r="D63" s="20">
        <v>1</v>
      </c>
    </row>
    <row r="64" spans="1:4" x14ac:dyDescent="0.25">
      <c r="A64" s="20">
        <v>62</v>
      </c>
      <c r="B64" t="s">
        <v>197</v>
      </c>
      <c r="C64">
        <v>7.2</v>
      </c>
      <c r="D64" s="20">
        <v>1</v>
      </c>
    </row>
    <row r="65" spans="1:4" x14ac:dyDescent="0.25">
      <c r="A65" s="20">
        <v>63</v>
      </c>
      <c r="B65" t="s">
        <v>199</v>
      </c>
      <c r="C65">
        <v>2.08</v>
      </c>
      <c r="D65" s="20">
        <v>1</v>
      </c>
    </row>
    <row r="66" spans="1:4" x14ac:dyDescent="0.25">
      <c r="A66" s="20">
        <v>64</v>
      </c>
      <c r="B66" t="s">
        <v>201</v>
      </c>
      <c r="C66">
        <v>3.19</v>
      </c>
      <c r="D66" s="20">
        <v>1</v>
      </c>
    </row>
    <row r="67" spans="1:4" x14ac:dyDescent="0.25">
      <c r="A67" s="20">
        <v>65</v>
      </c>
      <c r="B67" t="s">
        <v>203</v>
      </c>
      <c r="C67">
        <v>2.4900000000000002</v>
      </c>
      <c r="D67" s="20">
        <v>1</v>
      </c>
    </row>
    <row r="68" spans="1:4" x14ac:dyDescent="0.25">
      <c r="A68" s="20">
        <v>66</v>
      </c>
      <c r="B68" t="s">
        <v>205</v>
      </c>
      <c r="C68">
        <v>2.21</v>
      </c>
      <c r="D68" s="20">
        <v>1</v>
      </c>
    </row>
    <row r="69" spans="1:4" x14ac:dyDescent="0.25">
      <c r="A69" s="20">
        <v>67</v>
      </c>
      <c r="B69" t="s">
        <v>207</v>
      </c>
      <c r="C69">
        <v>3.35</v>
      </c>
      <c r="D69" s="20">
        <v>1</v>
      </c>
    </row>
    <row r="70" spans="1:4" x14ac:dyDescent="0.25">
      <c r="A70" s="20">
        <v>68</v>
      </c>
      <c r="B70" t="s">
        <v>217</v>
      </c>
      <c r="C70">
        <v>3.34</v>
      </c>
      <c r="D70" s="20">
        <v>1</v>
      </c>
    </row>
    <row r="71" spans="1:4" x14ac:dyDescent="0.25">
      <c r="A71" s="20">
        <v>69</v>
      </c>
      <c r="B71" t="s">
        <v>211</v>
      </c>
      <c r="C71">
        <v>5.0999999999999996</v>
      </c>
      <c r="D71" s="20">
        <v>1</v>
      </c>
    </row>
    <row r="72" spans="1:4" x14ac:dyDescent="0.25">
      <c r="A72" s="20">
        <v>70</v>
      </c>
      <c r="B72" t="s">
        <v>219</v>
      </c>
      <c r="C72">
        <v>2.46</v>
      </c>
      <c r="D72" s="20">
        <v>1</v>
      </c>
    </row>
    <row r="73" spans="1:4" x14ac:dyDescent="0.25">
      <c r="A73" s="20">
        <v>71</v>
      </c>
      <c r="B73" t="s">
        <v>223</v>
      </c>
      <c r="C73">
        <v>3.41</v>
      </c>
      <c r="D73" s="20">
        <v>1</v>
      </c>
    </row>
    <row r="74" spans="1:4" x14ac:dyDescent="0.25">
      <c r="A74" s="20">
        <v>72</v>
      </c>
      <c r="B74" t="s">
        <v>225</v>
      </c>
      <c r="C74">
        <v>7.2</v>
      </c>
      <c r="D74" s="20">
        <v>1</v>
      </c>
    </row>
    <row r="75" spans="1:4" x14ac:dyDescent="0.25">
      <c r="A75" s="20">
        <v>73</v>
      </c>
      <c r="B75" t="s">
        <v>227</v>
      </c>
      <c r="C75">
        <v>3.8</v>
      </c>
      <c r="D75" s="20">
        <v>1</v>
      </c>
    </row>
    <row r="76" spans="1:4" x14ac:dyDescent="0.25">
      <c r="A76" s="20">
        <v>74</v>
      </c>
      <c r="B76" t="s">
        <v>231</v>
      </c>
      <c r="C76">
        <v>3.91</v>
      </c>
      <c r="D76" s="20">
        <v>1</v>
      </c>
    </row>
    <row r="77" spans="1:4" x14ac:dyDescent="0.25">
      <c r="A77" s="20">
        <v>75</v>
      </c>
      <c r="B77" t="s">
        <v>233</v>
      </c>
      <c r="C77">
        <v>4.3499999999999996</v>
      </c>
      <c r="D77" s="20">
        <v>1</v>
      </c>
    </row>
    <row r="78" spans="1:4" x14ac:dyDescent="0.25">
      <c r="A78" s="20">
        <v>76</v>
      </c>
      <c r="B78" t="s">
        <v>237</v>
      </c>
      <c r="C78">
        <v>3.68</v>
      </c>
      <c r="D78" s="20">
        <v>1</v>
      </c>
    </row>
    <row r="79" spans="1:4" x14ac:dyDescent="0.25">
      <c r="A79" s="20">
        <v>77</v>
      </c>
      <c r="B79" t="s">
        <v>239</v>
      </c>
      <c r="C79">
        <v>3.9</v>
      </c>
      <c r="D79" s="20">
        <v>1</v>
      </c>
    </row>
    <row r="80" spans="1:4" x14ac:dyDescent="0.25">
      <c r="A80" s="20">
        <v>78</v>
      </c>
      <c r="B80" t="s">
        <v>235</v>
      </c>
      <c r="C80">
        <v>3.66</v>
      </c>
      <c r="D80" s="20">
        <v>1</v>
      </c>
    </row>
    <row r="81" spans="1:4" x14ac:dyDescent="0.25">
      <c r="A81" s="20">
        <v>79</v>
      </c>
      <c r="B81" t="s">
        <v>245</v>
      </c>
      <c r="C81">
        <v>1.71</v>
      </c>
      <c r="D81" s="20">
        <v>1</v>
      </c>
    </row>
    <row r="82" spans="1:4" x14ac:dyDescent="0.25">
      <c r="A82" s="20">
        <v>80</v>
      </c>
      <c r="B82" t="s">
        <v>247</v>
      </c>
      <c r="C82">
        <v>2.02</v>
      </c>
      <c r="D82" s="20">
        <v>1</v>
      </c>
    </row>
    <row r="83" spans="1:4" x14ac:dyDescent="0.25">
      <c r="A83" s="20">
        <v>81</v>
      </c>
      <c r="B83" t="s">
        <v>251</v>
      </c>
      <c r="C83">
        <v>2.61</v>
      </c>
      <c r="D83" s="20">
        <v>1</v>
      </c>
    </row>
    <row r="84" spans="1:4" x14ac:dyDescent="0.25">
      <c r="A84" s="20">
        <v>82</v>
      </c>
      <c r="B84" t="s">
        <v>257</v>
      </c>
      <c r="C84">
        <v>2.95</v>
      </c>
      <c r="D84" s="20">
        <v>1</v>
      </c>
    </row>
    <row r="85" spans="1:4" x14ac:dyDescent="0.25">
      <c r="A85" s="20">
        <v>83</v>
      </c>
      <c r="B85" t="s">
        <v>259</v>
      </c>
      <c r="C85">
        <v>3.3</v>
      </c>
      <c r="D85" s="20">
        <v>1</v>
      </c>
    </row>
    <row r="86" spans="1:4" x14ac:dyDescent="0.25">
      <c r="A86" s="20">
        <v>84</v>
      </c>
      <c r="B86" t="s">
        <v>261</v>
      </c>
      <c r="C86">
        <v>2.46</v>
      </c>
      <c r="D86" s="20">
        <v>1</v>
      </c>
    </row>
    <row r="87" spans="1:4" x14ac:dyDescent="0.25">
      <c r="A87" s="20">
        <v>85</v>
      </c>
      <c r="B87" t="s">
        <v>249</v>
      </c>
      <c r="C87">
        <v>2.2999999999999998</v>
      </c>
      <c r="D87" s="20">
        <v>1</v>
      </c>
    </row>
    <row r="88" spans="1:4" x14ac:dyDescent="0.25">
      <c r="A88" s="20">
        <v>86</v>
      </c>
      <c r="B88" t="s">
        <v>263</v>
      </c>
      <c r="C88">
        <v>4.2</v>
      </c>
      <c r="D88" s="20">
        <v>1</v>
      </c>
    </row>
    <row r="89" spans="1:4" x14ac:dyDescent="0.25">
      <c r="A89" s="20">
        <v>87</v>
      </c>
      <c r="B89" t="s">
        <v>267</v>
      </c>
      <c r="C89">
        <v>6.76</v>
      </c>
      <c r="D89" s="20">
        <v>1</v>
      </c>
    </row>
    <row r="90" spans="1:4" x14ac:dyDescent="0.25">
      <c r="A90" s="20">
        <v>88</v>
      </c>
      <c r="B90" t="s">
        <v>269</v>
      </c>
      <c r="C90">
        <v>7.8</v>
      </c>
      <c r="D90" s="20">
        <v>1</v>
      </c>
    </row>
    <row r="91" spans="1:4" x14ac:dyDescent="0.25">
      <c r="A91" s="20">
        <v>89</v>
      </c>
      <c r="B91" t="s">
        <v>285</v>
      </c>
      <c r="C91">
        <v>2.31</v>
      </c>
      <c r="D91" s="20">
        <v>1</v>
      </c>
    </row>
    <row r="92" spans="1:4" x14ac:dyDescent="0.25">
      <c r="A92" s="20">
        <v>90</v>
      </c>
      <c r="B92" t="s">
        <v>313</v>
      </c>
      <c r="C92">
        <v>3.5</v>
      </c>
      <c r="D92" s="20">
        <v>1</v>
      </c>
    </row>
    <row r="93" spans="1:4" x14ac:dyDescent="0.25">
      <c r="A93" s="20">
        <v>91</v>
      </c>
      <c r="B93" t="s">
        <v>311</v>
      </c>
      <c r="C93">
        <v>3.69</v>
      </c>
      <c r="D93" s="20">
        <v>1</v>
      </c>
    </row>
    <row r="94" spans="1:4" x14ac:dyDescent="0.25">
      <c r="A94" s="20">
        <v>92</v>
      </c>
      <c r="B94" t="s">
        <v>321</v>
      </c>
      <c r="C94">
        <v>3.75</v>
      </c>
      <c r="D94" s="20">
        <v>1</v>
      </c>
    </row>
    <row r="95" spans="1:4" x14ac:dyDescent="0.25">
      <c r="A95" s="20">
        <v>93</v>
      </c>
      <c r="B95" t="s">
        <v>325</v>
      </c>
      <c r="C95">
        <v>3.54</v>
      </c>
      <c r="D95" s="20">
        <v>1</v>
      </c>
    </row>
    <row r="96" spans="1:4" x14ac:dyDescent="0.25">
      <c r="A96" s="20">
        <v>94</v>
      </c>
      <c r="B96" t="s">
        <v>295</v>
      </c>
      <c r="C96">
        <v>3.19</v>
      </c>
      <c r="D96" s="20">
        <v>1</v>
      </c>
    </row>
    <row r="97" spans="1:4" x14ac:dyDescent="0.25">
      <c r="A97" s="20">
        <v>95</v>
      </c>
      <c r="B97" t="s">
        <v>293</v>
      </c>
      <c r="C97">
        <v>3.26</v>
      </c>
      <c r="D97" s="20">
        <v>1</v>
      </c>
    </row>
    <row r="98" spans="1:4" x14ac:dyDescent="0.25">
      <c r="A98" s="20">
        <v>96</v>
      </c>
      <c r="B98" t="s">
        <v>299</v>
      </c>
      <c r="C98">
        <v>3.45</v>
      </c>
      <c r="D98" s="20">
        <v>1</v>
      </c>
    </row>
    <row r="99" spans="1:4" x14ac:dyDescent="0.25">
      <c r="A99" s="20">
        <v>97</v>
      </c>
      <c r="B99" t="s">
        <v>305</v>
      </c>
      <c r="C99">
        <v>3.46</v>
      </c>
      <c r="D99" s="20">
        <v>1</v>
      </c>
    </row>
    <row r="100" spans="1:4" x14ac:dyDescent="0.25">
      <c r="A100" s="20">
        <v>98</v>
      </c>
      <c r="B100" t="s">
        <v>303</v>
      </c>
      <c r="C100">
        <v>3.25</v>
      </c>
      <c r="D100" s="20">
        <v>1</v>
      </c>
    </row>
    <row r="101" spans="1:4" x14ac:dyDescent="0.25">
      <c r="A101" s="20">
        <v>99</v>
      </c>
      <c r="B101" t="s">
        <v>307</v>
      </c>
      <c r="C101">
        <v>3.64</v>
      </c>
      <c r="D101" s="20">
        <v>1</v>
      </c>
    </row>
    <row r="102" spans="1:4" x14ac:dyDescent="0.25">
      <c r="A102" s="20">
        <v>100</v>
      </c>
      <c r="B102" t="s">
        <v>323</v>
      </c>
      <c r="C102">
        <v>3.4</v>
      </c>
      <c r="D102" s="20">
        <v>1</v>
      </c>
    </row>
    <row r="103" spans="1:4" x14ac:dyDescent="0.25">
      <c r="A103" s="20">
        <v>101</v>
      </c>
      <c r="B103" t="s">
        <v>329</v>
      </c>
      <c r="C103">
        <v>2.4500000000000002</v>
      </c>
      <c r="D103" s="20">
        <v>1</v>
      </c>
    </row>
    <row r="104" spans="1:4" x14ac:dyDescent="0.25">
      <c r="A104" s="20">
        <v>102</v>
      </c>
      <c r="B104" t="s">
        <v>333</v>
      </c>
      <c r="C104">
        <v>2.95</v>
      </c>
      <c r="D104" s="20">
        <v>1</v>
      </c>
    </row>
    <row r="105" spans="1:4" x14ac:dyDescent="0.25">
      <c r="A105" s="20">
        <v>103</v>
      </c>
      <c r="B105" t="s">
        <v>337</v>
      </c>
      <c r="C105">
        <v>3.27</v>
      </c>
      <c r="D105" s="20">
        <v>1</v>
      </c>
    </row>
    <row r="106" spans="1:4" x14ac:dyDescent="0.25">
      <c r="A106" s="20">
        <v>104</v>
      </c>
      <c r="B106" t="s">
        <v>339</v>
      </c>
      <c r="C106">
        <v>3.45</v>
      </c>
      <c r="D106" s="20">
        <v>1</v>
      </c>
    </row>
    <row r="107" spans="1:4" x14ac:dyDescent="0.25">
      <c r="A107" s="20">
        <v>105</v>
      </c>
      <c r="B107" t="s">
        <v>341</v>
      </c>
      <c r="C107">
        <v>2.31</v>
      </c>
      <c r="D107" s="20">
        <v>1</v>
      </c>
    </row>
    <row r="108" spans="1:4" x14ac:dyDescent="0.25">
      <c r="A108" s="20">
        <v>106</v>
      </c>
      <c r="B108" t="s">
        <v>343</v>
      </c>
      <c r="C108">
        <v>2.4700000000000002</v>
      </c>
      <c r="D108" s="20">
        <v>1</v>
      </c>
    </row>
    <row r="109" spans="1:4" x14ac:dyDescent="0.25">
      <c r="A109" s="20">
        <v>107</v>
      </c>
      <c r="B109" t="s">
        <v>345</v>
      </c>
      <c r="C109">
        <v>6.11</v>
      </c>
      <c r="D109" s="20">
        <v>1</v>
      </c>
    </row>
    <row r="110" spans="1:4" x14ac:dyDescent="0.25">
      <c r="A110" s="20">
        <v>108</v>
      </c>
      <c r="B110" t="s">
        <v>347</v>
      </c>
      <c r="C110">
        <v>1.84</v>
      </c>
      <c r="D110" s="20">
        <v>1</v>
      </c>
    </row>
    <row r="111" spans="1:4" x14ac:dyDescent="0.25">
      <c r="A111" s="20">
        <v>109</v>
      </c>
      <c r="B111" t="s">
        <v>351</v>
      </c>
      <c r="C111">
        <v>3.1</v>
      </c>
      <c r="D111" s="20">
        <v>1</v>
      </c>
    </row>
    <row r="112" spans="1:4" x14ac:dyDescent="0.25">
      <c r="A112" s="20">
        <v>110</v>
      </c>
      <c r="B112" t="s">
        <v>353</v>
      </c>
      <c r="C112">
        <v>3.25</v>
      </c>
      <c r="D112" s="20">
        <v>1</v>
      </c>
    </row>
    <row r="113" spans="1:4" x14ac:dyDescent="0.25">
      <c r="A113" s="20">
        <v>111</v>
      </c>
      <c r="B113" t="s">
        <v>355</v>
      </c>
      <c r="C113">
        <v>2.67</v>
      </c>
      <c r="D113" s="20">
        <v>1</v>
      </c>
    </row>
    <row r="114" spans="1:4" x14ac:dyDescent="0.25">
      <c r="A114" s="20">
        <v>112</v>
      </c>
      <c r="B114" t="s">
        <v>357</v>
      </c>
      <c r="C114">
        <v>1.59</v>
      </c>
      <c r="D114" s="20">
        <v>1</v>
      </c>
    </row>
    <row r="115" spans="1:4" x14ac:dyDescent="0.25">
      <c r="A115" s="20">
        <v>113</v>
      </c>
      <c r="B115" t="s">
        <v>349</v>
      </c>
      <c r="C115">
        <v>3.7</v>
      </c>
      <c r="D115" s="20">
        <v>1</v>
      </c>
    </row>
    <row r="116" spans="1:4" x14ac:dyDescent="0.25">
      <c r="A116" s="20">
        <v>114</v>
      </c>
      <c r="B116" t="s">
        <v>359</v>
      </c>
      <c r="C116">
        <v>3.24</v>
      </c>
      <c r="D116" s="20">
        <v>1</v>
      </c>
    </row>
    <row r="117" spans="1:4" x14ac:dyDescent="0.25">
      <c r="A117" s="20">
        <v>115</v>
      </c>
      <c r="B117" t="s">
        <v>365</v>
      </c>
      <c r="C117">
        <v>3.02</v>
      </c>
      <c r="D117" s="20">
        <v>1</v>
      </c>
    </row>
    <row r="118" spans="1:4" x14ac:dyDescent="0.25">
      <c r="A118" s="20">
        <v>116</v>
      </c>
      <c r="B118" t="s">
        <v>369</v>
      </c>
      <c r="C118">
        <v>2.78</v>
      </c>
      <c r="D118" s="20">
        <v>1</v>
      </c>
    </row>
    <row r="119" spans="1:4" x14ac:dyDescent="0.25">
      <c r="A119" s="20">
        <v>117</v>
      </c>
      <c r="B119" t="s">
        <v>371</v>
      </c>
      <c r="C119">
        <v>2.9</v>
      </c>
      <c r="D119" s="20">
        <v>1</v>
      </c>
    </row>
    <row r="120" spans="1:4" x14ac:dyDescent="0.25">
      <c r="A120" s="20">
        <v>118</v>
      </c>
      <c r="B120" t="s">
        <v>373</v>
      </c>
      <c r="C120">
        <v>2.99</v>
      </c>
      <c r="D120" s="20">
        <v>1</v>
      </c>
    </row>
    <row r="121" spans="1:4" x14ac:dyDescent="0.25">
      <c r="A121" s="20">
        <v>119</v>
      </c>
      <c r="B121" t="s">
        <v>377</v>
      </c>
      <c r="C121">
        <v>3.7</v>
      </c>
      <c r="D121" s="20">
        <v>1</v>
      </c>
    </row>
    <row r="122" spans="1:4" x14ac:dyDescent="0.25">
      <c r="A122" s="20">
        <v>120</v>
      </c>
      <c r="B122" t="s">
        <v>379</v>
      </c>
      <c r="C122">
        <v>3.45</v>
      </c>
      <c r="D122" s="20">
        <v>1</v>
      </c>
    </row>
    <row r="123" spans="1:4" x14ac:dyDescent="0.25">
      <c r="A123" s="20">
        <v>121</v>
      </c>
      <c r="B123" t="s">
        <v>381</v>
      </c>
      <c r="C123">
        <v>1.98</v>
      </c>
      <c r="D123" s="20">
        <v>1</v>
      </c>
    </row>
    <row r="124" spans="1:4" x14ac:dyDescent="0.25">
      <c r="A124" s="20">
        <v>122</v>
      </c>
      <c r="B124" t="s">
        <v>393</v>
      </c>
      <c r="C124">
        <v>6.83</v>
      </c>
      <c r="D124" s="20">
        <v>1</v>
      </c>
    </row>
    <row r="125" spans="1:4" x14ac:dyDescent="0.25">
      <c r="A125" s="20">
        <v>123</v>
      </c>
      <c r="B125" t="s">
        <v>395</v>
      </c>
      <c r="C125">
        <v>3.11</v>
      </c>
      <c r="D125" s="20">
        <v>1</v>
      </c>
    </row>
    <row r="126" spans="1:4" x14ac:dyDescent="0.25">
      <c r="A126" s="20">
        <v>124</v>
      </c>
      <c r="B126" t="s">
        <v>403</v>
      </c>
      <c r="C126">
        <v>2.95</v>
      </c>
      <c r="D126" s="20">
        <v>1</v>
      </c>
    </row>
    <row r="127" spans="1:4" x14ac:dyDescent="0.25">
      <c r="A127" s="20">
        <v>125</v>
      </c>
      <c r="B127" t="s">
        <v>405</v>
      </c>
      <c r="C127">
        <v>3.43</v>
      </c>
      <c r="D127" s="20">
        <v>1</v>
      </c>
    </row>
    <row r="128" spans="1:4" x14ac:dyDescent="0.25">
      <c r="A128" s="20">
        <v>126</v>
      </c>
      <c r="B128" t="s">
        <v>409</v>
      </c>
      <c r="C128">
        <v>3.48</v>
      </c>
      <c r="D128" s="20">
        <v>1</v>
      </c>
    </row>
    <row r="129" spans="1:4" x14ac:dyDescent="0.25">
      <c r="A129" s="20">
        <v>127</v>
      </c>
      <c r="B129" t="s">
        <v>411</v>
      </c>
      <c r="C129">
        <v>3.1</v>
      </c>
      <c r="D129" s="20">
        <v>1</v>
      </c>
    </row>
    <row r="130" spans="1:4" x14ac:dyDescent="0.25">
      <c r="A130" s="20">
        <v>128</v>
      </c>
      <c r="B130" t="s">
        <v>413</v>
      </c>
      <c r="C130">
        <v>2.59</v>
      </c>
      <c r="D130" s="20">
        <v>1</v>
      </c>
    </row>
    <row r="131" spans="1:4" x14ac:dyDescent="0.25">
      <c r="A131" s="20">
        <v>129</v>
      </c>
      <c r="B131" t="s">
        <v>407</v>
      </c>
      <c r="C131">
        <v>3.91</v>
      </c>
      <c r="D131" s="20">
        <v>1</v>
      </c>
    </row>
    <row r="132" spans="1:4" x14ac:dyDescent="0.25">
      <c r="A132" s="20">
        <v>130</v>
      </c>
      <c r="B132" t="s">
        <v>417</v>
      </c>
      <c r="C132">
        <v>3.72</v>
      </c>
      <c r="D132" s="20">
        <v>1</v>
      </c>
    </row>
    <row r="133" spans="1:4" x14ac:dyDescent="0.25">
      <c r="A133" s="20">
        <v>131</v>
      </c>
      <c r="B133" t="s">
        <v>419</v>
      </c>
      <c r="C133">
        <v>3.24</v>
      </c>
      <c r="D133" s="20">
        <v>1</v>
      </c>
    </row>
    <row r="134" spans="1:4" x14ac:dyDescent="0.25">
      <c r="A134" s="20">
        <v>132</v>
      </c>
      <c r="B134" t="s">
        <v>421</v>
      </c>
      <c r="C134">
        <v>4.09</v>
      </c>
      <c r="D134" s="20">
        <v>1</v>
      </c>
    </row>
    <row r="135" spans="1:4" x14ac:dyDescent="0.25">
      <c r="A135" s="20">
        <v>133</v>
      </c>
      <c r="B135" t="s">
        <v>425</v>
      </c>
      <c r="C135">
        <v>7.42</v>
      </c>
      <c r="D135" s="20">
        <v>1</v>
      </c>
    </row>
    <row r="136" spans="1:4" x14ac:dyDescent="0.25">
      <c r="A136" s="20">
        <v>134</v>
      </c>
      <c r="B136" t="s">
        <v>437</v>
      </c>
      <c r="C136">
        <v>2.78</v>
      </c>
      <c r="D136" s="20">
        <v>1</v>
      </c>
    </row>
    <row r="137" spans="1:4" x14ac:dyDescent="0.25">
      <c r="A137" s="20">
        <v>135</v>
      </c>
      <c r="B137" t="s">
        <v>441</v>
      </c>
      <c r="C137">
        <v>1.91</v>
      </c>
      <c r="D137" s="20">
        <v>1</v>
      </c>
    </row>
    <row r="138" spans="1:4" x14ac:dyDescent="0.25">
      <c r="A138" s="20">
        <v>136</v>
      </c>
      <c r="B138" t="s">
        <v>443</v>
      </c>
      <c r="C138">
        <v>4.3499999999999996</v>
      </c>
      <c r="D138" s="20">
        <v>1</v>
      </c>
    </row>
    <row r="139" spans="1:4" x14ac:dyDescent="0.25">
      <c r="A139" s="20">
        <v>137</v>
      </c>
      <c r="B139" t="s">
        <v>427</v>
      </c>
      <c r="C139">
        <v>3.47</v>
      </c>
      <c r="D139" s="20">
        <v>1</v>
      </c>
    </row>
    <row r="140" spans="1:4" x14ac:dyDescent="0.25">
      <c r="A140" s="20">
        <v>138</v>
      </c>
      <c r="B140" t="s">
        <v>447</v>
      </c>
      <c r="C140">
        <v>1.9</v>
      </c>
      <c r="D140" s="20">
        <v>1</v>
      </c>
    </row>
    <row r="141" spans="1:4" x14ac:dyDescent="0.25">
      <c r="A141" s="20">
        <v>139</v>
      </c>
      <c r="B141" t="s">
        <v>451</v>
      </c>
      <c r="C141">
        <v>3.01</v>
      </c>
      <c r="D141" s="20">
        <v>1</v>
      </c>
    </row>
    <row r="142" spans="1:4" x14ac:dyDescent="0.25">
      <c r="A142" s="20">
        <v>140</v>
      </c>
      <c r="B142" t="s">
        <v>453</v>
      </c>
      <c r="C142">
        <v>2.46</v>
      </c>
      <c r="D142" s="20">
        <v>1</v>
      </c>
    </row>
    <row r="143" spans="1:4" x14ac:dyDescent="0.25">
      <c r="A143" s="20">
        <v>141</v>
      </c>
      <c r="B143" t="s">
        <v>457</v>
      </c>
      <c r="C143">
        <v>7.54</v>
      </c>
      <c r="D143" s="20">
        <v>1</v>
      </c>
    </row>
    <row r="144" spans="1:4" x14ac:dyDescent="0.25">
      <c r="A144" s="20">
        <v>142</v>
      </c>
      <c r="B144" t="s">
        <v>459</v>
      </c>
      <c r="C144">
        <v>9.25</v>
      </c>
      <c r="D144" s="20">
        <v>1</v>
      </c>
    </row>
    <row r="145" spans="1:4" x14ac:dyDescent="0.25">
      <c r="A145" s="20">
        <v>143</v>
      </c>
      <c r="B145" t="s">
        <v>461</v>
      </c>
      <c r="C145">
        <v>6.87</v>
      </c>
      <c r="D145" s="20">
        <v>1</v>
      </c>
    </row>
    <row r="146" spans="1:4" x14ac:dyDescent="0.25">
      <c r="A146" s="20">
        <v>144</v>
      </c>
      <c r="B146" t="s">
        <v>463</v>
      </c>
      <c r="C146">
        <v>2.1800000000000002</v>
      </c>
      <c r="D146" s="20">
        <v>1</v>
      </c>
    </row>
    <row r="147" spans="1:4" x14ac:dyDescent="0.25">
      <c r="A147" s="20">
        <v>145</v>
      </c>
      <c r="B147" t="s">
        <v>465</v>
      </c>
      <c r="C147">
        <v>3.92</v>
      </c>
      <c r="D147" s="20">
        <v>1</v>
      </c>
    </row>
    <row r="148" spans="1:4" x14ac:dyDescent="0.25">
      <c r="A148" s="20">
        <v>146</v>
      </c>
      <c r="B148" t="s">
        <v>469</v>
      </c>
      <c r="C148">
        <v>6.1</v>
      </c>
      <c r="D148" s="20">
        <v>1</v>
      </c>
    </row>
    <row r="149" spans="1:4" x14ac:dyDescent="0.25">
      <c r="A149" s="20">
        <v>147</v>
      </c>
      <c r="B149" t="s">
        <v>471</v>
      </c>
      <c r="C149">
        <v>9.36</v>
      </c>
      <c r="D149" s="20">
        <v>1</v>
      </c>
    </row>
    <row r="150" spans="1:4" x14ac:dyDescent="0.25">
      <c r="A150" s="20">
        <v>148</v>
      </c>
      <c r="B150" t="s">
        <v>473</v>
      </c>
      <c r="C150">
        <v>8.08</v>
      </c>
      <c r="D150" s="20">
        <v>1</v>
      </c>
    </row>
    <row r="151" spans="1:4" x14ac:dyDescent="0.25">
      <c r="A151" s="20">
        <v>149</v>
      </c>
      <c r="B151" t="s">
        <v>475</v>
      </c>
      <c r="C151">
        <v>10.54</v>
      </c>
      <c r="D151" s="20">
        <v>1</v>
      </c>
    </row>
    <row r="152" spans="1:4" x14ac:dyDescent="0.25">
      <c r="A152" s="20">
        <v>150</v>
      </c>
      <c r="B152" t="s">
        <v>481</v>
      </c>
      <c r="C152">
        <v>4.0599999999999996</v>
      </c>
      <c r="D152" s="20">
        <v>1</v>
      </c>
    </row>
    <row r="153" spans="1:4" x14ac:dyDescent="0.25">
      <c r="A153" s="20">
        <v>151</v>
      </c>
      <c r="B153" t="s">
        <v>483</v>
      </c>
      <c r="C153">
        <v>3.02</v>
      </c>
      <c r="D153" s="20">
        <v>1</v>
      </c>
    </row>
    <row r="154" spans="1:4" x14ac:dyDescent="0.25">
      <c r="A154" s="20">
        <v>152</v>
      </c>
      <c r="B154" t="s">
        <v>485</v>
      </c>
      <c r="C154">
        <v>2.4</v>
      </c>
      <c r="D154" s="20">
        <v>1</v>
      </c>
    </row>
    <row r="155" spans="1:4" x14ac:dyDescent="0.25">
      <c r="A155" s="20">
        <v>153</v>
      </c>
      <c r="B155" t="s">
        <v>489</v>
      </c>
      <c r="C155">
        <v>3.01</v>
      </c>
      <c r="D155" s="20">
        <v>1</v>
      </c>
    </row>
    <row r="156" spans="1:4" x14ac:dyDescent="0.25">
      <c r="A156" s="20">
        <v>154</v>
      </c>
      <c r="B156" t="s">
        <v>495</v>
      </c>
      <c r="C156">
        <v>2.69</v>
      </c>
      <c r="D156" s="20">
        <v>1</v>
      </c>
    </row>
    <row r="157" spans="1:4" x14ac:dyDescent="0.25">
      <c r="A157" s="20">
        <v>155</v>
      </c>
      <c r="B157" t="s">
        <v>499</v>
      </c>
      <c r="C157">
        <v>1.77</v>
      </c>
      <c r="D157" s="20">
        <v>1</v>
      </c>
    </row>
    <row r="158" spans="1:4" x14ac:dyDescent="0.25">
      <c r="A158" s="20">
        <v>156</v>
      </c>
      <c r="B158" t="s">
        <v>501</v>
      </c>
      <c r="C158">
        <v>3.19</v>
      </c>
      <c r="D158" s="20">
        <v>1</v>
      </c>
    </row>
    <row r="159" spans="1:4" x14ac:dyDescent="0.25">
      <c r="A159" s="20">
        <v>157</v>
      </c>
      <c r="B159" t="s">
        <v>507</v>
      </c>
      <c r="C159">
        <v>2.92</v>
      </c>
      <c r="D159" s="20">
        <v>1</v>
      </c>
    </row>
    <row r="160" spans="1:4" x14ac:dyDescent="0.25">
      <c r="A160" s="20">
        <v>158</v>
      </c>
      <c r="B160" t="s">
        <v>517</v>
      </c>
      <c r="C160">
        <v>1.83</v>
      </c>
      <c r="D160" s="20">
        <v>1</v>
      </c>
    </row>
    <row r="161" spans="1:4" x14ac:dyDescent="0.25">
      <c r="A161" s="20">
        <v>159</v>
      </c>
      <c r="B161" t="s">
        <v>519</v>
      </c>
      <c r="C161">
        <v>2.34</v>
      </c>
      <c r="D161" s="20">
        <v>1</v>
      </c>
    </row>
    <row r="162" spans="1:4" x14ac:dyDescent="0.25">
      <c r="A162" s="20">
        <v>160</v>
      </c>
      <c r="B162" t="s">
        <v>513</v>
      </c>
      <c r="C162">
        <v>1.2</v>
      </c>
      <c r="D162" s="20">
        <v>1</v>
      </c>
    </row>
    <row r="163" spans="1:4" x14ac:dyDescent="0.25">
      <c r="A163" s="20">
        <v>161</v>
      </c>
      <c r="B163" t="s">
        <v>521</v>
      </c>
      <c r="C163">
        <v>3.64</v>
      </c>
      <c r="D163" s="20">
        <v>1</v>
      </c>
    </row>
    <row r="164" spans="1:4" x14ac:dyDescent="0.25">
      <c r="A164" s="20">
        <v>162</v>
      </c>
      <c r="B164" t="s">
        <v>525</v>
      </c>
      <c r="C164">
        <v>2.33</v>
      </c>
      <c r="D164" s="20">
        <v>1</v>
      </c>
    </row>
    <row r="165" spans="1:4" x14ac:dyDescent="0.25">
      <c r="A165" s="20">
        <v>163</v>
      </c>
      <c r="B165" t="s">
        <v>527</v>
      </c>
      <c r="C165">
        <v>1.1399999999999999</v>
      </c>
      <c r="D165" s="20">
        <v>1</v>
      </c>
    </row>
    <row r="166" spans="1:4" x14ac:dyDescent="0.25">
      <c r="A166" s="20">
        <v>164</v>
      </c>
      <c r="B166" t="s">
        <v>529</v>
      </c>
      <c r="C166">
        <v>5.7</v>
      </c>
      <c r="D166" s="20">
        <v>1</v>
      </c>
    </row>
    <row r="167" spans="1:4" x14ac:dyDescent="0.25">
      <c r="A167" s="20">
        <v>165</v>
      </c>
      <c r="B167" t="s">
        <v>533</v>
      </c>
      <c r="C167">
        <v>2.59</v>
      </c>
      <c r="D167" s="20">
        <v>1</v>
      </c>
    </row>
    <row r="168" spans="1:4" x14ac:dyDescent="0.25">
      <c r="A168" s="20">
        <v>166</v>
      </c>
      <c r="B168" t="s">
        <v>535</v>
      </c>
      <c r="C168">
        <v>4.8499999999999996</v>
      </c>
      <c r="D168" s="20">
        <v>1</v>
      </c>
    </row>
    <row r="169" spans="1:4" x14ac:dyDescent="0.25">
      <c r="A169" s="20">
        <v>167</v>
      </c>
      <c r="B169" t="s">
        <v>537</v>
      </c>
      <c r="C169">
        <v>2.88</v>
      </c>
      <c r="D169" s="20">
        <v>1</v>
      </c>
    </row>
    <row r="170" spans="1:4" x14ac:dyDescent="0.25">
      <c r="A170" s="20">
        <v>168</v>
      </c>
      <c r="B170" t="s">
        <v>541</v>
      </c>
      <c r="C170">
        <v>3.19</v>
      </c>
      <c r="D170" s="20">
        <v>1</v>
      </c>
    </row>
    <row r="171" spans="1:4" x14ac:dyDescent="0.25">
      <c r="A171" s="20">
        <v>169</v>
      </c>
      <c r="B171" t="s">
        <v>545</v>
      </c>
      <c r="C171">
        <v>3.31</v>
      </c>
      <c r="D171" s="20">
        <v>1</v>
      </c>
    </row>
    <row r="172" spans="1:4" x14ac:dyDescent="0.25">
      <c r="A172" s="20">
        <v>170</v>
      </c>
      <c r="B172" t="s">
        <v>549</v>
      </c>
      <c r="C172">
        <v>3.49</v>
      </c>
      <c r="D172" s="20">
        <v>1</v>
      </c>
    </row>
    <row r="173" spans="1:4" x14ac:dyDescent="0.25">
      <c r="A173" s="20">
        <v>171</v>
      </c>
      <c r="B173" t="s">
        <v>551</v>
      </c>
      <c r="C173">
        <v>3.45</v>
      </c>
      <c r="D173" s="20">
        <v>1</v>
      </c>
    </row>
    <row r="174" spans="1:4" x14ac:dyDescent="0.25">
      <c r="A174" s="20">
        <v>172</v>
      </c>
      <c r="B174" t="s">
        <v>557</v>
      </c>
      <c r="C174">
        <v>7.94</v>
      </c>
      <c r="D174" s="20">
        <v>1</v>
      </c>
    </row>
    <row r="175" spans="1:4" x14ac:dyDescent="0.25">
      <c r="A175" s="20">
        <v>173</v>
      </c>
      <c r="B175" t="s">
        <v>561</v>
      </c>
      <c r="C175">
        <v>3.05</v>
      </c>
      <c r="D175" s="20">
        <v>1</v>
      </c>
    </row>
    <row r="176" spans="1:4" x14ac:dyDescent="0.25">
      <c r="A176" s="20">
        <v>174</v>
      </c>
      <c r="B176" t="s">
        <v>569</v>
      </c>
      <c r="C176">
        <v>3.33</v>
      </c>
      <c r="D176" s="20">
        <v>1</v>
      </c>
    </row>
    <row r="177" spans="1:4" x14ac:dyDescent="0.25">
      <c r="A177" s="20">
        <v>175</v>
      </c>
      <c r="B177" t="s">
        <v>573</v>
      </c>
      <c r="C177">
        <v>9.9</v>
      </c>
      <c r="D177" s="20">
        <v>1</v>
      </c>
    </row>
    <row r="178" spans="1:4" x14ac:dyDescent="0.25">
      <c r="A178" s="20">
        <v>176</v>
      </c>
      <c r="B178" t="s">
        <v>575</v>
      </c>
      <c r="C178">
        <v>6.45</v>
      </c>
      <c r="D178" s="20">
        <v>1</v>
      </c>
    </row>
    <row r="179" spans="1:4" x14ac:dyDescent="0.25">
      <c r="A179" s="20">
        <v>177</v>
      </c>
      <c r="B179" t="s">
        <v>577</v>
      </c>
      <c r="C179">
        <v>3.4</v>
      </c>
      <c r="D179" s="20">
        <v>1</v>
      </c>
    </row>
    <row r="180" spans="1:4" x14ac:dyDescent="0.25">
      <c r="A180" s="20">
        <v>178</v>
      </c>
      <c r="B180" t="s">
        <v>579</v>
      </c>
      <c r="C180">
        <v>8.25</v>
      </c>
      <c r="D180" s="20">
        <v>1</v>
      </c>
    </row>
    <row r="181" spans="1:4" x14ac:dyDescent="0.25">
      <c r="A181" s="20">
        <v>179</v>
      </c>
      <c r="B181" t="s">
        <v>581</v>
      </c>
      <c r="C181">
        <v>2.7</v>
      </c>
      <c r="D181" s="20">
        <v>1</v>
      </c>
    </row>
    <row r="182" spans="1:4" x14ac:dyDescent="0.25">
      <c r="A182" s="20">
        <v>180</v>
      </c>
      <c r="B182" t="s">
        <v>583</v>
      </c>
      <c r="C182">
        <v>2.94</v>
      </c>
      <c r="D182" s="20">
        <v>1</v>
      </c>
    </row>
    <row r="183" spans="1:4" x14ac:dyDescent="0.25">
      <c r="A183" s="20">
        <v>181</v>
      </c>
      <c r="B183" t="s">
        <v>585</v>
      </c>
      <c r="C183">
        <v>3.04</v>
      </c>
      <c r="D183" s="20">
        <v>1</v>
      </c>
    </row>
    <row r="184" spans="1:4" x14ac:dyDescent="0.25">
      <c r="A184" s="20">
        <v>182</v>
      </c>
      <c r="B184" t="s">
        <v>587</v>
      </c>
      <c r="C184">
        <v>2.84</v>
      </c>
      <c r="D184" s="20">
        <v>1</v>
      </c>
    </row>
    <row r="185" spans="1:4" x14ac:dyDescent="0.25">
      <c r="A185" s="20">
        <v>183</v>
      </c>
      <c r="B185" t="s">
        <v>589</v>
      </c>
      <c r="C185">
        <v>3.15</v>
      </c>
      <c r="D185" s="20">
        <v>1</v>
      </c>
    </row>
    <row r="186" spans="1:4" x14ac:dyDescent="0.25">
      <c r="A186" s="20">
        <v>184</v>
      </c>
      <c r="B186" t="s">
        <v>591</v>
      </c>
      <c r="C186">
        <v>3.21</v>
      </c>
      <c r="D186" s="20">
        <v>1</v>
      </c>
    </row>
    <row r="187" spans="1:4" x14ac:dyDescent="0.25">
      <c r="A187" s="20">
        <v>185</v>
      </c>
      <c r="B187" t="s">
        <v>597</v>
      </c>
      <c r="C187">
        <v>2.8</v>
      </c>
      <c r="D187" s="20">
        <v>1</v>
      </c>
    </row>
    <row r="188" spans="1:4" x14ac:dyDescent="0.25">
      <c r="A188" s="20">
        <v>186</v>
      </c>
      <c r="B188" t="s">
        <v>599</v>
      </c>
      <c r="C188">
        <v>3.04</v>
      </c>
      <c r="D188" s="20">
        <v>1</v>
      </c>
    </row>
    <row r="189" spans="1:4" x14ac:dyDescent="0.25">
      <c r="A189" s="20">
        <v>187</v>
      </c>
      <c r="B189" t="s">
        <v>601</v>
      </c>
      <c r="C189">
        <v>2.72</v>
      </c>
      <c r="D189" s="20">
        <v>1</v>
      </c>
    </row>
    <row r="190" spans="1:4" x14ac:dyDescent="0.25">
      <c r="A190" s="20">
        <v>188</v>
      </c>
      <c r="B190" t="s">
        <v>595</v>
      </c>
      <c r="C190">
        <v>2.69</v>
      </c>
      <c r="D190" s="20">
        <v>1</v>
      </c>
    </row>
    <row r="191" spans="1:4" x14ac:dyDescent="0.25">
      <c r="A191" s="20">
        <v>189</v>
      </c>
      <c r="B191" t="s">
        <v>603</v>
      </c>
      <c r="C191">
        <v>3.08</v>
      </c>
      <c r="D191" s="20">
        <v>1</v>
      </c>
    </row>
    <row r="192" spans="1:4" x14ac:dyDescent="0.25">
      <c r="A192" s="20">
        <v>190</v>
      </c>
      <c r="B192" t="s">
        <v>607</v>
      </c>
      <c r="C192">
        <v>3.02</v>
      </c>
      <c r="D192" s="20">
        <v>1</v>
      </c>
    </row>
    <row r="193" spans="1:4" x14ac:dyDescent="0.25">
      <c r="A193" s="20">
        <v>191</v>
      </c>
      <c r="B193" t="s">
        <v>609</v>
      </c>
      <c r="C193">
        <v>3.23</v>
      </c>
      <c r="D193" s="20">
        <v>1</v>
      </c>
    </row>
    <row r="194" spans="1:4" x14ac:dyDescent="0.25">
      <c r="A194" s="20">
        <v>192</v>
      </c>
      <c r="B194" t="s">
        <v>611</v>
      </c>
      <c r="C194">
        <v>2.2400000000000002</v>
      </c>
      <c r="D194" s="20">
        <v>1</v>
      </c>
    </row>
    <row r="195" spans="1:4" x14ac:dyDescent="0.25">
      <c r="A195" s="20">
        <v>193</v>
      </c>
      <c r="B195" t="s">
        <v>593</v>
      </c>
      <c r="C195">
        <v>1.46</v>
      </c>
      <c r="D195" s="20">
        <v>1</v>
      </c>
    </row>
    <row r="196" spans="1:4" x14ac:dyDescent="0.25">
      <c r="A196" s="20">
        <v>194</v>
      </c>
      <c r="B196" t="s">
        <v>613</v>
      </c>
      <c r="C196">
        <v>3.14</v>
      </c>
      <c r="D196" s="20">
        <v>1</v>
      </c>
    </row>
    <row r="197" spans="1:4" x14ac:dyDescent="0.25">
      <c r="A197" s="20">
        <v>195</v>
      </c>
      <c r="B197" t="s">
        <v>615</v>
      </c>
      <c r="C197">
        <v>8.93</v>
      </c>
      <c r="D197" s="20">
        <v>1</v>
      </c>
    </row>
    <row r="198" spans="1:4" x14ac:dyDescent="0.25">
      <c r="A198" s="20">
        <v>196</v>
      </c>
      <c r="B198" t="s">
        <v>619</v>
      </c>
      <c r="C198">
        <v>2.82</v>
      </c>
      <c r="D198" s="20">
        <v>1</v>
      </c>
    </row>
    <row r="199" spans="1:4" x14ac:dyDescent="0.25">
      <c r="A199" s="20">
        <v>197</v>
      </c>
      <c r="B199" t="s">
        <v>623</v>
      </c>
      <c r="C199">
        <v>2.83</v>
      </c>
      <c r="D199" s="20">
        <v>1</v>
      </c>
    </row>
    <row r="200" spans="1:4" x14ac:dyDescent="0.25">
      <c r="A200" s="20">
        <v>198</v>
      </c>
      <c r="B200" t="s">
        <v>625</v>
      </c>
      <c r="C200">
        <v>7.06</v>
      </c>
      <c r="D200" s="20">
        <v>1</v>
      </c>
    </row>
    <row r="201" spans="1:4" x14ac:dyDescent="0.25">
      <c r="A201" s="20">
        <v>199</v>
      </c>
      <c r="B201" t="s">
        <v>627</v>
      </c>
      <c r="C201">
        <v>3.32</v>
      </c>
      <c r="D201" s="20">
        <v>1</v>
      </c>
    </row>
    <row r="202" spans="1:4" x14ac:dyDescent="0.25">
      <c r="A202" s="20">
        <v>200</v>
      </c>
      <c r="B202" t="s">
        <v>631</v>
      </c>
      <c r="C202">
        <v>4.41</v>
      </c>
      <c r="D202" s="20">
        <v>1</v>
      </c>
    </row>
    <row r="203" spans="1:4" x14ac:dyDescent="0.25">
      <c r="A203" s="20">
        <v>201</v>
      </c>
      <c r="B203" t="s">
        <v>635</v>
      </c>
      <c r="C203">
        <v>3.66</v>
      </c>
      <c r="D203" s="20">
        <v>1</v>
      </c>
    </row>
    <row r="204" spans="1:4" x14ac:dyDescent="0.25">
      <c r="A204" s="20">
        <v>202</v>
      </c>
      <c r="B204" t="s">
        <v>639</v>
      </c>
      <c r="C204">
        <v>3.18</v>
      </c>
      <c r="D204" s="20">
        <v>1</v>
      </c>
    </row>
    <row r="205" spans="1:4" x14ac:dyDescent="0.25">
      <c r="A205" s="20">
        <v>203</v>
      </c>
      <c r="B205" t="s">
        <v>643</v>
      </c>
      <c r="C205">
        <v>4</v>
      </c>
      <c r="D205" s="20">
        <v>1</v>
      </c>
    </row>
    <row r="206" spans="1:4" x14ac:dyDescent="0.25">
      <c r="A206" s="20">
        <v>204</v>
      </c>
      <c r="B206" t="s">
        <v>645</v>
      </c>
      <c r="C206">
        <v>7.71</v>
      </c>
      <c r="D206" s="20">
        <v>1</v>
      </c>
    </row>
    <row r="207" spans="1:4" x14ac:dyDescent="0.25">
      <c r="A207" s="20">
        <v>205</v>
      </c>
      <c r="B207" t="s">
        <v>641</v>
      </c>
      <c r="C207">
        <v>7.16</v>
      </c>
      <c r="D207" s="20">
        <v>1</v>
      </c>
    </row>
    <row r="208" spans="1:4" x14ac:dyDescent="0.25">
      <c r="A208" s="20">
        <v>206</v>
      </c>
      <c r="B208" t="s">
        <v>653</v>
      </c>
      <c r="C208">
        <v>3.22</v>
      </c>
      <c r="D208" s="20">
        <v>1</v>
      </c>
    </row>
    <row r="209" spans="1:4" x14ac:dyDescent="0.25">
      <c r="A209" s="20">
        <v>207</v>
      </c>
      <c r="B209" t="s">
        <v>659</v>
      </c>
      <c r="C209">
        <v>3.08</v>
      </c>
      <c r="D209" s="20">
        <v>1</v>
      </c>
    </row>
    <row r="210" spans="1:4" x14ac:dyDescent="0.25">
      <c r="A210" s="20">
        <v>208</v>
      </c>
      <c r="B210" t="s">
        <v>663</v>
      </c>
      <c r="C210">
        <v>3.16</v>
      </c>
      <c r="D210" s="20">
        <v>1</v>
      </c>
    </row>
    <row r="211" spans="1:4" x14ac:dyDescent="0.25">
      <c r="A211" s="20">
        <v>209</v>
      </c>
      <c r="B211" t="s">
        <v>669</v>
      </c>
      <c r="C211">
        <v>2.82</v>
      </c>
      <c r="D211" s="20">
        <v>1</v>
      </c>
    </row>
    <row r="212" spans="1:4" x14ac:dyDescent="0.25">
      <c r="A212" s="20">
        <v>210</v>
      </c>
      <c r="B212" t="s">
        <v>657</v>
      </c>
      <c r="C212">
        <v>3.4</v>
      </c>
      <c r="D212" s="20">
        <v>1</v>
      </c>
    </row>
    <row r="213" spans="1:4" x14ac:dyDescent="0.25">
      <c r="A213" s="20">
        <v>211</v>
      </c>
      <c r="B213" t="s">
        <v>673</v>
      </c>
      <c r="C213">
        <v>3.57</v>
      </c>
      <c r="D213" s="20">
        <v>1</v>
      </c>
    </row>
    <row r="214" spans="1:4" x14ac:dyDescent="0.25">
      <c r="A214" s="20">
        <v>212</v>
      </c>
      <c r="B214" t="s">
        <v>675</v>
      </c>
      <c r="C214">
        <v>4.8</v>
      </c>
      <c r="D214" s="20">
        <v>1</v>
      </c>
    </row>
    <row r="215" spans="1:4" x14ac:dyDescent="0.25">
      <c r="A215" s="20">
        <v>213</v>
      </c>
      <c r="B215" t="s">
        <v>677</v>
      </c>
      <c r="C215">
        <v>3.56</v>
      </c>
      <c r="D215" s="20">
        <v>1</v>
      </c>
    </row>
    <row r="216" spans="1:4" x14ac:dyDescent="0.25">
      <c r="A216" s="20">
        <v>214</v>
      </c>
      <c r="B216" t="s">
        <v>679</v>
      </c>
      <c r="C216">
        <v>2.17</v>
      </c>
      <c r="D216" s="20">
        <v>1</v>
      </c>
    </row>
    <row r="217" spans="1:4" x14ac:dyDescent="0.25">
      <c r="A217" s="20">
        <v>215</v>
      </c>
      <c r="B217" t="s">
        <v>683</v>
      </c>
      <c r="C217">
        <v>3.48</v>
      </c>
      <c r="D217" s="20">
        <v>1</v>
      </c>
    </row>
    <row r="218" spans="1:4" x14ac:dyDescent="0.25">
      <c r="A218" s="20">
        <v>216</v>
      </c>
      <c r="B218" t="s">
        <v>687</v>
      </c>
      <c r="C218">
        <v>3.46</v>
      </c>
      <c r="D218" s="20">
        <v>1</v>
      </c>
    </row>
    <row r="219" spans="1:4" x14ac:dyDescent="0.25">
      <c r="A219" s="20">
        <v>217</v>
      </c>
      <c r="B219" t="s">
        <v>689</v>
      </c>
      <c r="C219">
        <v>3.28</v>
      </c>
      <c r="D219" s="20">
        <v>1</v>
      </c>
    </row>
    <row r="220" spans="1:4" x14ac:dyDescent="0.25">
      <c r="A220" s="20">
        <v>218</v>
      </c>
      <c r="B220" t="s">
        <v>691</v>
      </c>
      <c r="C220">
        <v>3.36</v>
      </c>
      <c r="D220" s="20">
        <v>1</v>
      </c>
    </row>
    <row r="221" spans="1:4" x14ac:dyDescent="0.25">
      <c r="A221" s="20">
        <v>219</v>
      </c>
      <c r="B221" t="s">
        <v>685</v>
      </c>
      <c r="C221">
        <v>4.1399999999999997</v>
      </c>
      <c r="D221" s="20">
        <v>1</v>
      </c>
    </row>
    <row r="222" spans="1:4" x14ac:dyDescent="0.25">
      <c r="A222" s="20">
        <v>220</v>
      </c>
      <c r="B222" t="s">
        <v>695</v>
      </c>
      <c r="C222">
        <v>10.199999999999999</v>
      </c>
      <c r="D222" s="20">
        <v>1</v>
      </c>
    </row>
    <row r="223" spans="1:4" x14ac:dyDescent="0.25">
      <c r="A223" s="20">
        <v>221</v>
      </c>
      <c r="B223" t="s">
        <v>697</v>
      </c>
      <c r="C223">
        <v>8.27</v>
      </c>
      <c r="D223" s="20">
        <v>1</v>
      </c>
    </row>
    <row r="224" spans="1:4" x14ac:dyDescent="0.25">
      <c r="A224" s="20">
        <v>222</v>
      </c>
      <c r="B224" t="s">
        <v>699</v>
      </c>
      <c r="C224">
        <v>3.31</v>
      </c>
      <c r="D224" s="20">
        <v>1</v>
      </c>
    </row>
    <row r="225" spans="1:4" x14ac:dyDescent="0.25">
      <c r="A225" s="20">
        <v>223</v>
      </c>
      <c r="B225" t="s">
        <v>701</v>
      </c>
      <c r="C225">
        <v>2.87</v>
      </c>
      <c r="D225" s="20">
        <v>1</v>
      </c>
    </row>
    <row r="226" spans="1:4" x14ac:dyDescent="0.25">
      <c r="A226" s="20">
        <v>224</v>
      </c>
      <c r="B226" t="s">
        <v>705</v>
      </c>
      <c r="C226">
        <v>3.76</v>
      </c>
      <c r="D226" s="20">
        <v>1</v>
      </c>
    </row>
    <row r="227" spans="1:4" x14ac:dyDescent="0.25">
      <c r="A227" s="20">
        <v>225</v>
      </c>
      <c r="B227" t="s">
        <v>707</v>
      </c>
      <c r="C227">
        <v>4.05</v>
      </c>
      <c r="D227" s="20">
        <v>1</v>
      </c>
    </row>
    <row r="228" spans="1:4" x14ac:dyDescent="0.25">
      <c r="A228" s="20">
        <v>226</v>
      </c>
      <c r="B228" t="s">
        <v>703</v>
      </c>
      <c r="C228">
        <v>3.35</v>
      </c>
      <c r="D228" s="20">
        <v>1</v>
      </c>
    </row>
    <row r="229" spans="1:4" x14ac:dyDescent="0.25">
      <c r="A229" s="20">
        <v>227</v>
      </c>
      <c r="B229" t="s">
        <v>715</v>
      </c>
      <c r="C229">
        <v>4.13</v>
      </c>
      <c r="D229" s="20">
        <v>1</v>
      </c>
    </row>
    <row r="230" spans="1:4" x14ac:dyDescent="0.25">
      <c r="A230" s="20">
        <v>228</v>
      </c>
      <c r="B230" t="s">
        <v>719</v>
      </c>
      <c r="C230">
        <v>2.8</v>
      </c>
      <c r="D230" s="20">
        <v>1</v>
      </c>
    </row>
    <row r="231" spans="1:4" x14ac:dyDescent="0.25">
      <c r="A231" s="20">
        <v>229</v>
      </c>
      <c r="B231" t="s">
        <v>725</v>
      </c>
      <c r="C231">
        <v>2.91</v>
      </c>
      <c r="D231" s="20">
        <v>1</v>
      </c>
    </row>
    <row r="232" spans="1:4" x14ac:dyDescent="0.25">
      <c r="A232" s="20">
        <v>230</v>
      </c>
      <c r="B232" t="s">
        <v>727</v>
      </c>
      <c r="C232">
        <v>2.8</v>
      </c>
      <c r="D232" s="20">
        <v>1</v>
      </c>
    </row>
    <row r="233" spans="1:4" x14ac:dyDescent="0.25">
      <c r="A233" s="20">
        <v>231</v>
      </c>
      <c r="B233" t="s">
        <v>729</v>
      </c>
      <c r="C233">
        <v>2.56</v>
      </c>
      <c r="D233" s="20">
        <v>1</v>
      </c>
    </row>
    <row r="234" spans="1:4" x14ac:dyDescent="0.25">
      <c r="A234" s="20">
        <v>232</v>
      </c>
      <c r="B234" t="s">
        <v>731</v>
      </c>
      <c r="C234">
        <v>6.68</v>
      </c>
      <c r="D234" s="20">
        <v>1</v>
      </c>
    </row>
    <row r="235" spans="1:4" x14ac:dyDescent="0.25">
      <c r="A235" s="20">
        <v>233</v>
      </c>
      <c r="B235" t="s">
        <v>733</v>
      </c>
      <c r="C235">
        <v>3.54</v>
      </c>
      <c r="D235" s="20">
        <v>1</v>
      </c>
    </row>
    <row r="236" spans="1:4" x14ac:dyDescent="0.25">
      <c r="A236" s="20">
        <v>234</v>
      </c>
      <c r="B236" t="s">
        <v>735</v>
      </c>
      <c r="C236">
        <v>3.15</v>
      </c>
      <c r="D236" s="20">
        <v>1</v>
      </c>
    </row>
    <row r="237" spans="1:4" x14ac:dyDescent="0.25">
      <c r="A237" s="20">
        <v>235</v>
      </c>
      <c r="B237" t="s">
        <v>737</v>
      </c>
      <c r="C237">
        <v>2.88</v>
      </c>
      <c r="D237" s="20">
        <v>1</v>
      </c>
    </row>
    <row r="238" spans="1:4" x14ac:dyDescent="0.25">
      <c r="A238" s="20">
        <v>236</v>
      </c>
      <c r="B238" t="s">
        <v>739</v>
      </c>
      <c r="C238">
        <v>3.5</v>
      </c>
      <c r="D238" s="20">
        <v>1</v>
      </c>
    </row>
    <row r="239" spans="1:4" x14ac:dyDescent="0.25">
      <c r="A239" s="20">
        <v>237</v>
      </c>
      <c r="B239" t="s">
        <v>741</v>
      </c>
      <c r="C239">
        <v>3.57</v>
      </c>
      <c r="D239" s="20">
        <v>1</v>
      </c>
    </row>
    <row r="240" spans="1:4" x14ac:dyDescent="0.25">
      <c r="A240" s="20">
        <v>238</v>
      </c>
      <c r="B240" t="s">
        <v>745</v>
      </c>
      <c r="C240">
        <v>3.11</v>
      </c>
      <c r="D240" s="20">
        <v>1</v>
      </c>
    </row>
    <row r="241" spans="1:4" x14ac:dyDescent="0.25">
      <c r="A241" s="20">
        <v>239</v>
      </c>
      <c r="B241" t="s">
        <v>749</v>
      </c>
      <c r="C241">
        <v>3.33</v>
      </c>
      <c r="D241" s="20">
        <v>1</v>
      </c>
    </row>
    <row r="242" spans="1:4" x14ac:dyDescent="0.25">
      <c r="A242" s="20">
        <v>240</v>
      </c>
      <c r="B242" t="s">
        <v>751</v>
      </c>
      <c r="C242">
        <v>4.12</v>
      </c>
      <c r="D242" s="20">
        <v>1</v>
      </c>
    </row>
    <row r="243" spans="1:4" x14ac:dyDescent="0.25">
      <c r="A243" s="20">
        <v>241</v>
      </c>
      <c r="B243" t="s">
        <v>753</v>
      </c>
      <c r="C243">
        <v>3.64</v>
      </c>
      <c r="D243" s="20">
        <v>1</v>
      </c>
    </row>
    <row r="244" spans="1:4" x14ac:dyDescent="0.25">
      <c r="A244" s="20">
        <v>242</v>
      </c>
      <c r="B244" t="s">
        <v>755</v>
      </c>
      <c r="C244">
        <v>2.76</v>
      </c>
      <c r="D244" s="20">
        <v>1</v>
      </c>
    </row>
    <row r="245" spans="1:4" x14ac:dyDescent="0.25">
      <c r="A245" s="20">
        <v>243</v>
      </c>
      <c r="B245" t="s">
        <v>743</v>
      </c>
      <c r="C245">
        <v>2.73</v>
      </c>
      <c r="D245" s="20">
        <v>1</v>
      </c>
    </row>
    <row r="246" spans="1:4" x14ac:dyDescent="0.25">
      <c r="A246" s="20">
        <v>244</v>
      </c>
      <c r="B246" t="s">
        <v>759</v>
      </c>
      <c r="C246">
        <v>3.23</v>
      </c>
      <c r="D246" s="20">
        <v>1</v>
      </c>
    </row>
    <row r="247" spans="1:4" x14ac:dyDescent="0.25">
      <c r="A247" s="20">
        <v>245</v>
      </c>
      <c r="B247" t="s">
        <v>763</v>
      </c>
      <c r="C247">
        <v>1.82</v>
      </c>
      <c r="D247" s="20">
        <v>1</v>
      </c>
    </row>
    <row r="248" spans="1:4" x14ac:dyDescent="0.25">
      <c r="A248" s="20">
        <v>246</v>
      </c>
      <c r="B248" t="s">
        <v>767</v>
      </c>
      <c r="C248">
        <v>3.65</v>
      </c>
      <c r="D248" s="20">
        <v>1</v>
      </c>
    </row>
    <row r="249" spans="1:4" x14ac:dyDescent="0.25">
      <c r="A249" s="20">
        <v>247</v>
      </c>
      <c r="B249" t="s">
        <v>771</v>
      </c>
      <c r="C249">
        <v>3.63</v>
      </c>
      <c r="D249" s="20">
        <v>1</v>
      </c>
    </row>
    <row r="250" spans="1:4" x14ac:dyDescent="0.25">
      <c r="A250" s="20">
        <v>248</v>
      </c>
      <c r="B250" t="s">
        <v>773</v>
      </c>
      <c r="C250">
        <v>7.02</v>
      </c>
      <c r="D250" s="20">
        <v>1</v>
      </c>
    </row>
    <row r="251" spans="1:4" x14ac:dyDescent="0.25">
      <c r="A251" s="20">
        <v>249</v>
      </c>
      <c r="B251" t="s">
        <v>775</v>
      </c>
      <c r="C251">
        <v>9</v>
      </c>
      <c r="D251" s="20">
        <v>1</v>
      </c>
    </row>
    <row r="252" spans="1:4" x14ac:dyDescent="0.25">
      <c r="A252" s="20">
        <v>250</v>
      </c>
      <c r="B252" t="s">
        <v>777</v>
      </c>
      <c r="C252">
        <v>1.1100000000000001</v>
      </c>
      <c r="D252" s="20">
        <v>1</v>
      </c>
    </row>
    <row r="253" spans="1:4" x14ac:dyDescent="0.25">
      <c r="B253"/>
      <c r="C253"/>
    </row>
    <row r="254" spans="1:4" x14ac:dyDescent="0.25">
      <c r="B254"/>
      <c r="C254"/>
    </row>
    <row r="255" spans="1:4" x14ac:dyDescent="0.25">
      <c r="B255"/>
      <c r="C255"/>
    </row>
    <row r="256" spans="1:4" x14ac:dyDescent="0.25">
      <c r="B256"/>
      <c r="C256"/>
    </row>
    <row r="257" spans="2:3" x14ac:dyDescent="0.25">
      <c r="B257"/>
      <c r="C257"/>
    </row>
    <row r="258" spans="2:3" x14ac:dyDescent="0.25">
      <c r="B258"/>
      <c r="C258"/>
    </row>
    <row r="259" spans="2:3" x14ac:dyDescent="0.25">
      <c r="B259"/>
      <c r="C259"/>
    </row>
    <row r="260" spans="2:3" x14ac:dyDescent="0.25">
      <c r="B260"/>
      <c r="C260"/>
    </row>
    <row r="261" spans="2:3" x14ac:dyDescent="0.25">
      <c r="B261"/>
      <c r="C26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Export_CSV">
                <anchor moveWithCells="1" sizeWithCells="1">
                  <from>
                    <xdr:col>4</xdr:col>
                    <xdr:colOff>581025</xdr:colOff>
                    <xdr:row>1</xdr:row>
                    <xdr:rowOff>180975</xdr:rowOff>
                  </from>
                  <to>
                    <xdr:col>9</xdr:col>
                    <xdr:colOff>152400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Export_CSV2">
                <anchor moveWithCells="1" sizeWithCells="1">
                  <from>
                    <xdr:col>4</xdr:col>
                    <xdr:colOff>581025</xdr:colOff>
                    <xdr:row>6</xdr:row>
                    <xdr:rowOff>123825</xdr:rowOff>
                  </from>
                  <to>
                    <xdr:col>9</xdr:col>
                    <xdr:colOff>152400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1]!Export_CSV1">
                <anchor moveWithCells="1" sizeWithCells="1">
                  <from>
                    <xdr:col>4</xdr:col>
                    <xdr:colOff>581025</xdr:colOff>
                    <xdr:row>11</xdr:row>
                    <xdr:rowOff>76200</xdr:rowOff>
                  </from>
                  <to>
                    <xdr:col>9</xdr:col>
                    <xdr:colOff>152400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N1155"/>
  <sheetViews>
    <sheetView workbookViewId="0">
      <selection activeCell="G71" sqref="G71"/>
    </sheetView>
  </sheetViews>
  <sheetFormatPr defaultRowHeight="15" x14ac:dyDescent="0.25"/>
  <cols>
    <col min="1" max="1" width="9.85546875" bestFit="1" customWidth="1"/>
    <col min="2" max="2" width="19.140625" customWidth="1"/>
    <col min="3" max="3" width="16.7109375" bestFit="1" customWidth="1"/>
    <col min="4" max="4" width="9.28515625" bestFit="1" customWidth="1"/>
    <col min="5" max="5" width="6.5703125" bestFit="1" customWidth="1"/>
    <col min="6" max="6" width="18.28515625" style="3" bestFit="1" customWidth="1"/>
    <col min="7" max="7" width="15.7109375" bestFit="1" customWidth="1"/>
    <col min="8" max="8" width="5.85546875" bestFit="1" customWidth="1"/>
    <col min="9" max="9" width="7.42578125" bestFit="1" customWidth="1"/>
    <col min="10" max="10" width="0" style="20" hidden="1" customWidth="1"/>
    <col min="11" max="11" width="19" style="20" hidden="1" customWidth="1"/>
    <col min="12" max="12" width="0" style="20" hidden="1" customWidth="1"/>
    <col min="13" max="13" width="12.85546875" style="20" hidden="1" customWidth="1"/>
    <col min="14" max="14" width="10.5703125" style="20" customWidth="1"/>
  </cols>
  <sheetData>
    <row r="1" spans="1:14" s="1" customFormat="1" x14ac:dyDescent="0.25">
      <c r="A1" s="1" t="s">
        <v>778</v>
      </c>
      <c r="B1" s="1" t="s">
        <v>821</v>
      </c>
      <c r="C1" s="1" t="s">
        <v>779</v>
      </c>
      <c r="D1" s="1" t="s">
        <v>780</v>
      </c>
      <c r="E1" s="1" t="s">
        <v>781</v>
      </c>
      <c r="F1" s="2" t="s">
        <v>782</v>
      </c>
      <c r="G1" s="1" t="s">
        <v>783</v>
      </c>
      <c r="H1" s="1" t="s">
        <v>784</v>
      </c>
      <c r="I1" s="1" t="s">
        <v>785</v>
      </c>
      <c r="J1" s="20">
        <f>COUNT(E:E)</f>
        <v>388</v>
      </c>
      <c r="K1" s="21" t="s">
        <v>821</v>
      </c>
      <c r="L1" s="21" t="s">
        <v>822</v>
      </c>
      <c r="M1" s="21" t="s">
        <v>823</v>
      </c>
      <c r="N1" s="21" t="s">
        <v>823</v>
      </c>
    </row>
    <row r="2" spans="1:14" hidden="1" x14ac:dyDescent="0.25">
      <c r="A2" t="s">
        <v>0</v>
      </c>
      <c r="B2">
        <v>471326</v>
      </c>
      <c r="C2" t="s">
        <v>1</v>
      </c>
      <c r="D2" t="s">
        <v>2</v>
      </c>
      <c r="E2">
        <v>3.15</v>
      </c>
      <c r="F2" s="3" t="s">
        <v>3</v>
      </c>
      <c r="G2" t="s">
        <v>786</v>
      </c>
      <c r="H2" s="4">
        <v>1.28</v>
      </c>
      <c r="I2" t="s">
        <v>787</v>
      </c>
      <c r="K2" s="20">
        <f>IF(C2="","",C2-((TRUNC((C2/1000000),0))*1000000))</f>
        <v>471326</v>
      </c>
      <c r="L2" s="20">
        <f ca="1">IF(A2="","",RANDBETWEEN(1,10))</f>
        <v>5</v>
      </c>
      <c r="M2" s="20" t="str">
        <f ca="1">IF(A2="","",IF(L2&lt;8,"calibracion","validacion"))</f>
        <v>calibracion</v>
      </c>
      <c r="N2" s="20" t="s">
        <v>825</v>
      </c>
    </row>
    <row r="3" spans="1:14" x14ac:dyDescent="0.25">
      <c r="A3" t="s">
        <v>4</v>
      </c>
      <c r="B3">
        <v>840330</v>
      </c>
      <c r="C3" t="s">
        <v>5</v>
      </c>
      <c r="D3" t="s">
        <v>2</v>
      </c>
      <c r="E3">
        <v>5.49</v>
      </c>
      <c r="F3" s="3" t="s">
        <v>3</v>
      </c>
      <c r="G3" t="s">
        <v>786</v>
      </c>
      <c r="H3" s="4">
        <v>7.0000000000000007E-2</v>
      </c>
      <c r="I3" t="s">
        <v>787</v>
      </c>
      <c r="K3" s="20">
        <f>IF(C3="","",C3-((TRUNC((C3/1000000),0))*1000000))</f>
        <v>840330</v>
      </c>
      <c r="L3" s="20">
        <f ca="1">IF(A3="","",RANDBETWEEN(1,10))</f>
        <v>4</v>
      </c>
      <c r="M3" s="20" t="str">
        <f ca="1">IF(A3="","",IF(L3&lt;8,"calibracion","validacion"))</f>
        <v>calibracion</v>
      </c>
      <c r="N3" s="20" t="s">
        <v>824</v>
      </c>
    </row>
    <row r="4" spans="1:14" hidden="1" x14ac:dyDescent="0.25">
      <c r="A4" t="s">
        <v>6</v>
      </c>
      <c r="B4">
        <v>113317</v>
      </c>
      <c r="C4" t="s">
        <v>7</v>
      </c>
      <c r="D4" t="s">
        <v>2</v>
      </c>
      <c r="E4">
        <v>1.56</v>
      </c>
      <c r="F4" s="3" t="s">
        <v>3</v>
      </c>
      <c r="G4" t="s">
        <v>786</v>
      </c>
      <c r="H4" s="4">
        <v>0.28999999999999998</v>
      </c>
      <c r="I4" t="s">
        <v>787</v>
      </c>
      <c r="K4" s="20">
        <f>IF(C4="","",C4-((TRUNC((C4/1000000),0))*1000000))</f>
        <v>113317</v>
      </c>
      <c r="L4" s="20">
        <f ca="1">IF(A4="","",RANDBETWEEN(1,10))</f>
        <v>3</v>
      </c>
      <c r="M4" s="20" t="str">
        <f ca="1">IF(A4="","",IF(L4&lt;8,"calibracion","validacion"))</f>
        <v>calibracion</v>
      </c>
      <c r="N4" s="20" t="s">
        <v>825</v>
      </c>
    </row>
    <row r="5" spans="1:14" x14ac:dyDescent="0.25">
      <c r="A5" t="s">
        <v>8</v>
      </c>
      <c r="B5">
        <v>211314</v>
      </c>
      <c r="C5" t="s">
        <v>9</v>
      </c>
      <c r="D5" t="s">
        <v>2</v>
      </c>
      <c r="E5">
        <v>9.92</v>
      </c>
      <c r="F5" s="3" t="s">
        <v>3</v>
      </c>
      <c r="G5" t="s">
        <v>786</v>
      </c>
      <c r="H5" s="4">
        <v>0.27</v>
      </c>
      <c r="I5" t="s">
        <v>787</v>
      </c>
      <c r="K5" s="20">
        <f>IF(C5="","",C5-((TRUNC((C5/1000000),0))*1000000))</f>
        <v>211314</v>
      </c>
      <c r="L5" s="20">
        <f ca="1">IF(A5="","",RANDBETWEEN(1,10))</f>
        <v>1</v>
      </c>
      <c r="M5" s="20" t="str">
        <f ca="1">IF(A5="","",IF(L5&lt;8,"calibracion","validacion"))</f>
        <v>calibracion</v>
      </c>
      <c r="N5" s="20" t="s">
        <v>824</v>
      </c>
    </row>
    <row r="6" spans="1:14" hidden="1" x14ac:dyDescent="0.25">
      <c r="A6" t="s">
        <v>10</v>
      </c>
      <c r="B6">
        <v>378304</v>
      </c>
      <c r="C6" t="s">
        <v>11</v>
      </c>
      <c r="D6" t="s">
        <v>2</v>
      </c>
      <c r="E6">
        <v>1.35</v>
      </c>
      <c r="F6" s="3" t="s">
        <v>3</v>
      </c>
      <c r="G6" t="s">
        <v>786</v>
      </c>
      <c r="H6" s="4">
        <v>0.26</v>
      </c>
      <c r="I6" t="s">
        <v>787</v>
      </c>
      <c r="K6" s="20">
        <f>IF(C6="","",C6-((TRUNC((C6/1000000),0))*1000000))</f>
        <v>378304</v>
      </c>
      <c r="L6" s="20">
        <f ca="1">IF(A6="","",RANDBETWEEN(1,10))</f>
        <v>7</v>
      </c>
      <c r="M6" s="20" t="str">
        <f ca="1">IF(A6="","",IF(L6&lt;8,"calibracion","validacion"))</f>
        <v>calibracion</v>
      </c>
      <c r="N6" s="20" t="s">
        <v>825</v>
      </c>
    </row>
    <row r="7" spans="1:14" hidden="1" x14ac:dyDescent="0.25">
      <c r="A7" t="s">
        <v>12</v>
      </c>
      <c r="B7">
        <v>737332</v>
      </c>
      <c r="C7" t="s">
        <v>13</v>
      </c>
      <c r="D7" t="s">
        <v>2</v>
      </c>
      <c r="E7">
        <v>6.17</v>
      </c>
      <c r="F7" s="3" t="s">
        <v>3</v>
      </c>
      <c r="G7" t="s">
        <v>786</v>
      </c>
      <c r="H7" s="4">
        <v>0.28999999999999998</v>
      </c>
      <c r="I7" t="s">
        <v>787</v>
      </c>
      <c r="K7" s="20">
        <f>IF(C7="","",C7-((TRUNC((C7/1000000),0))*1000000))</f>
        <v>737332</v>
      </c>
      <c r="L7" s="20">
        <f ca="1">IF(A7="","",RANDBETWEEN(1,10))</f>
        <v>9</v>
      </c>
      <c r="M7" s="20" t="str">
        <f ca="1">IF(A7="","",IF(L7&lt;8,"calibracion","validacion"))</f>
        <v>validacion</v>
      </c>
      <c r="N7" s="20" t="s">
        <v>825</v>
      </c>
    </row>
    <row r="8" spans="1:14" x14ac:dyDescent="0.25">
      <c r="A8" t="s">
        <v>14</v>
      </c>
      <c r="B8">
        <v>154334</v>
      </c>
      <c r="C8" t="s">
        <v>15</v>
      </c>
      <c r="D8" t="s">
        <v>2</v>
      </c>
      <c r="E8">
        <v>6.55</v>
      </c>
      <c r="F8" s="3" t="s">
        <v>3</v>
      </c>
      <c r="G8" t="s">
        <v>786</v>
      </c>
      <c r="H8" s="4">
        <v>0.41</v>
      </c>
      <c r="I8" t="s">
        <v>787</v>
      </c>
      <c r="K8" s="20">
        <f>IF(C8="","",C8-((TRUNC((C8/1000000),0))*1000000))</f>
        <v>154334</v>
      </c>
      <c r="L8" s="20">
        <f ca="1">IF(A8="","",RANDBETWEEN(1,10))</f>
        <v>2</v>
      </c>
      <c r="M8" s="20" t="str">
        <f ca="1">IF(A8="","",IF(L8&lt;8,"calibracion","validacion"))</f>
        <v>calibracion</v>
      </c>
      <c r="N8" s="20" t="s">
        <v>824</v>
      </c>
    </row>
    <row r="9" spans="1:14" hidden="1" x14ac:dyDescent="0.25">
      <c r="A9" t="s">
        <v>16</v>
      </c>
      <c r="B9">
        <v>165306</v>
      </c>
      <c r="C9" t="s">
        <v>17</v>
      </c>
      <c r="D9" t="s">
        <v>2</v>
      </c>
      <c r="E9">
        <v>6.33</v>
      </c>
      <c r="F9" s="3" t="s">
        <v>3</v>
      </c>
      <c r="G9" t="s">
        <v>786</v>
      </c>
      <c r="H9" s="4">
        <v>0.18</v>
      </c>
      <c r="I9" t="s">
        <v>787</v>
      </c>
      <c r="K9" s="20">
        <f>IF(C9="","",C9-((TRUNC((C9/1000000),0))*1000000))</f>
        <v>165306</v>
      </c>
      <c r="L9" s="20">
        <f ca="1">IF(A9="","",RANDBETWEEN(1,10))</f>
        <v>6</v>
      </c>
      <c r="M9" s="20" t="str">
        <f ca="1">IF(A9="","",IF(L9&lt;8,"calibracion","validacion"))</f>
        <v>calibracion</v>
      </c>
      <c r="N9" s="20" t="s">
        <v>825</v>
      </c>
    </row>
    <row r="10" spans="1:14" hidden="1" x14ac:dyDescent="0.25">
      <c r="A10" t="s">
        <v>18</v>
      </c>
      <c r="B10">
        <v>454309</v>
      </c>
      <c r="C10" t="s">
        <v>19</v>
      </c>
      <c r="D10" t="s">
        <v>2</v>
      </c>
      <c r="E10">
        <v>6.2</v>
      </c>
      <c r="F10" s="3" t="s">
        <v>3</v>
      </c>
      <c r="G10" t="s">
        <v>786</v>
      </c>
      <c r="H10" s="4">
        <v>0.28000000000000003</v>
      </c>
      <c r="I10" t="s">
        <v>787</v>
      </c>
      <c r="K10" s="20">
        <f>IF(C10="","",C10-((TRUNC((C10/1000000),0))*1000000))</f>
        <v>454309</v>
      </c>
      <c r="L10" s="20">
        <f ca="1">IF(A10="","",RANDBETWEEN(1,10))</f>
        <v>4</v>
      </c>
      <c r="M10" s="20" t="str">
        <f ca="1">IF(A10="","",IF(L10&lt;8,"calibracion","validacion"))</f>
        <v>calibracion</v>
      </c>
      <c r="N10" s="20" t="s">
        <v>825</v>
      </c>
    </row>
    <row r="11" spans="1:14" hidden="1" x14ac:dyDescent="0.25">
      <c r="A11" t="s">
        <v>20</v>
      </c>
      <c r="B11">
        <v>622322</v>
      </c>
      <c r="C11" t="s">
        <v>21</v>
      </c>
      <c r="D11" t="s">
        <v>2</v>
      </c>
      <c r="E11">
        <v>2.65</v>
      </c>
      <c r="F11" s="3" t="s">
        <v>3</v>
      </c>
      <c r="G11" t="s">
        <v>786</v>
      </c>
      <c r="H11" s="4">
        <v>1.53</v>
      </c>
      <c r="I11" t="s">
        <v>787</v>
      </c>
      <c r="K11" s="20">
        <f>IF(C11="","",C11-((TRUNC((C11/1000000),0))*1000000))</f>
        <v>622322</v>
      </c>
      <c r="L11" s="20">
        <f ca="1">IF(A11="","",RANDBETWEEN(1,10))</f>
        <v>4</v>
      </c>
      <c r="M11" s="20" t="str">
        <f ca="1">IF(A11="","",IF(L11&lt;8,"calibracion","validacion"))</f>
        <v>calibracion</v>
      </c>
      <c r="N11" s="20" t="s">
        <v>825</v>
      </c>
    </row>
    <row r="12" spans="1:14" hidden="1" x14ac:dyDescent="0.25">
      <c r="A12" t="s">
        <v>22</v>
      </c>
      <c r="B12">
        <v>622324</v>
      </c>
      <c r="C12" t="s">
        <v>23</v>
      </c>
      <c r="D12" t="s">
        <v>2</v>
      </c>
      <c r="E12">
        <v>2.14</v>
      </c>
      <c r="F12" s="3" t="s">
        <v>3</v>
      </c>
      <c r="G12" t="s">
        <v>786</v>
      </c>
      <c r="H12" s="4">
        <v>2.58</v>
      </c>
      <c r="I12" t="s">
        <v>787</v>
      </c>
      <c r="K12" s="20">
        <f>IF(C12="","",C12-((TRUNC((C12/1000000),0))*1000000))</f>
        <v>622324</v>
      </c>
      <c r="L12" s="20">
        <f ca="1">IF(A12="","",RANDBETWEEN(1,10))</f>
        <v>6</v>
      </c>
      <c r="M12" s="20" t="str">
        <f ca="1">IF(A12="","",IF(L12&lt;8,"calibracion","validacion"))</f>
        <v>calibracion</v>
      </c>
      <c r="N12" s="20" t="s">
        <v>825</v>
      </c>
    </row>
    <row r="13" spans="1:14" hidden="1" x14ac:dyDescent="0.25">
      <c r="A13" t="s">
        <v>24</v>
      </c>
      <c r="B13">
        <v>622329</v>
      </c>
      <c r="C13" t="s">
        <v>25</v>
      </c>
      <c r="D13" t="s">
        <v>2</v>
      </c>
      <c r="E13">
        <v>2.89</v>
      </c>
      <c r="F13" s="3" t="s">
        <v>3</v>
      </c>
      <c r="G13" t="s">
        <v>786</v>
      </c>
      <c r="H13" s="4">
        <v>0.79</v>
      </c>
      <c r="I13" t="s">
        <v>787</v>
      </c>
      <c r="K13" s="20">
        <f>IF(C13="","",C13-((TRUNC((C13/1000000),0))*1000000))</f>
        <v>622329</v>
      </c>
      <c r="L13" s="20">
        <f ca="1">IF(A13="","",RANDBETWEEN(1,10))</f>
        <v>5</v>
      </c>
      <c r="M13" s="20" t="str">
        <f ca="1">IF(A13="","",IF(L13&lt;8,"calibracion","validacion"))</f>
        <v>calibracion</v>
      </c>
      <c r="N13" s="20" t="s">
        <v>825</v>
      </c>
    </row>
    <row r="14" spans="1:14" hidden="1" x14ac:dyDescent="0.25">
      <c r="A14" t="s">
        <v>26</v>
      </c>
      <c r="B14">
        <v>659322</v>
      </c>
      <c r="C14" t="s">
        <v>27</v>
      </c>
      <c r="D14" t="s">
        <v>2</v>
      </c>
      <c r="E14">
        <v>6.1</v>
      </c>
      <c r="F14" s="3" t="s">
        <v>3</v>
      </c>
      <c r="G14" t="s">
        <v>786</v>
      </c>
      <c r="H14" s="4">
        <v>0.19</v>
      </c>
      <c r="I14" t="s">
        <v>787</v>
      </c>
      <c r="K14" s="20">
        <f>IF(C14="","",C14-((TRUNC((C14/1000000),0))*1000000))</f>
        <v>659322</v>
      </c>
      <c r="L14" s="20">
        <f ca="1">IF(A14="","",RANDBETWEEN(1,10))</f>
        <v>6</v>
      </c>
      <c r="M14" s="20" t="str">
        <f ca="1">IF(A14="","",IF(L14&lt;8,"calibracion","validacion"))</f>
        <v>calibracion</v>
      </c>
      <c r="N14" s="20" t="s">
        <v>825</v>
      </c>
    </row>
    <row r="15" spans="1:14" hidden="1" x14ac:dyDescent="0.25">
      <c r="A15" t="s">
        <v>28</v>
      </c>
      <c r="B15">
        <v>769311</v>
      </c>
      <c r="C15" t="s">
        <v>29</v>
      </c>
      <c r="D15" t="s">
        <v>2</v>
      </c>
      <c r="E15">
        <v>5.92</v>
      </c>
      <c r="F15" s="3" t="s">
        <v>3</v>
      </c>
      <c r="G15" t="s">
        <v>786</v>
      </c>
      <c r="H15" s="4">
        <v>0.25</v>
      </c>
      <c r="I15" t="s">
        <v>787</v>
      </c>
      <c r="K15" s="20">
        <f>IF(C15="","",C15-((TRUNC((C15/1000000),0))*1000000))</f>
        <v>769311</v>
      </c>
      <c r="L15" s="20">
        <f ca="1">IF(A15="","",RANDBETWEEN(1,10))</f>
        <v>3</v>
      </c>
      <c r="M15" s="20" t="str">
        <f ca="1">IF(A15="","",IF(L15&lt;8,"calibracion","validacion"))</f>
        <v>calibracion</v>
      </c>
      <c r="N15" s="20" t="s">
        <v>825</v>
      </c>
    </row>
    <row r="16" spans="1:14" hidden="1" x14ac:dyDescent="0.25">
      <c r="A16" t="s">
        <v>30</v>
      </c>
      <c r="B16">
        <v>792307</v>
      </c>
      <c r="C16" t="s">
        <v>31</v>
      </c>
      <c r="D16" t="s">
        <v>2</v>
      </c>
      <c r="E16">
        <v>3.55</v>
      </c>
      <c r="F16" s="3" t="s">
        <v>3</v>
      </c>
      <c r="G16" t="s">
        <v>786</v>
      </c>
      <c r="H16" s="4">
        <v>1.1100000000000001</v>
      </c>
      <c r="I16" t="s">
        <v>787</v>
      </c>
      <c r="K16" s="20">
        <f>IF(C16="","",C16-((TRUNC((C16/1000000),0))*1000000))</f>
        <v>792307</v>
      </c>
      <c r="L16" s="20">
        <f ca="1">IF(A16="","",RANDBETWEEN(1,10))</f>
        <v>9</v>
      </c>
      <c r="M16" s="20" t="str">
        <f ca="1">IF(A16="","",IF(L16&lt;8,"calibracion","validacion"))</f>
        <v>validacion</v>
      </c>
      <c r="N16" s="20" t="s">
        <v>825</v>
      </c>
    </row>
    <row r="17" spans="1:14" hidden="1" x14ac:dyDescent="0.25">
      <c r="A17" t="s">
        <v>32</v>
      </c>
      <c r="B17">
        <v>792308</v>
      </c>
      <c r="C17" t="s">
        <v>33</v>
      </c>
      <c r="D17" t="s">
        <v>2</v>
      </c>
      <c r="E17">
        <v>2.87</v>
      </c>
      <c r="F17" s="3" t="s">
        <v>3</v>
      </c>
      <c r="G17" t="s">
        <v>786</v>
      </c>
      <c r="H17" s="4">
        <v>0.49</v>
      </c>
      <c r="I17" t="s">
        <v>787</v>
      </c>
      <c r="K17" s="20">
        <f>IF(C17="","",C17-((TRUNC((C17/1000000),0))*1000000))</f>
        <v>792308</v>
      </c>
      <c r="L17" s="20">
        <f ca="1">IF(A17="","",RANDBETWEEN(1,10))</f>
        <v>7</v>
      </c>
      <c r="M17" s="20" t="str">
        <f ca="1">IF(A17="","",IF(L17&lt;8,"calibracion","validacion"))</f>
        <v>calibracion</v>
      </c>
      <c r="N17" s="20" t="s">
        <v>825</v>
      </c>
    </row>
    <row r="18" spans="1:14" x14ac:dyDescent="0.25">
      <c r="A18" t="s">
        <v>34</v>
      </c>
      <c r="B18">
        <v>792315</v>
      </c>
      <c r="C18" t="s">
        <v>35</v>
      </c>
      <c r="D18" t="s">
        <v>2</v>
      </c>
      <c r="E18">
        <v>2.95</v>
      </c>
      <c r="F18" s="3" t="s">
        <v>3</v>
      </c>
      <c r="G18" t="s">
        <v>786</v>
      </c>
      <c r="H18" s="4">
        <v>0.97</v>
      </c>
      <c r="I18" t="s">
        <v>787</v>
      </c>
      <c r="K18" s="20">
        <f>IF(C18="","",C18-((TRUNC((C18/1000000),0))*1000000))</f>
        <v>792315</v>
      </c>
      <c r="L18" s="20">
        <f ca="1">IF(A18="","",RANDBETWEEN(1,10))</f>
        <v>3</v>
      </c>
      <c r="M18" s="20" t="str">
        <f ca="1">IF(A18="","",IF(L18&lt;8,"calibracion","validacion"))</f>
        <v>calibracion</v>
      </c>
      <c r="N18" s="20" t="s">
        <v>824</v>
      </c>
    </row>
    <row r="19" spans="1:14" hidden="1" x14ac:dyDescent="0.25">
      <c r="A19" t="s">
        <v>36</v>
      </c>
      <c r="B19">
        <v>792316</v>
      </c>
      <c r="C19" t="s">
        <v>37</v>
      </c>
      <c r="D19" t="s">
        <v>2</v>
      </c>
      <c r="E19">
        <v>2.97</v>
      </c>
      <c r="F19" s="3" t="s">
        <v>3</v>
      </c>
      <c r="G19" t="s">
        <v>786</v>
      </c>
      <c r="H19" s="4">
        <v>1.02</v>
      </c>
      <c r="I19" t="s">
        <v>787</v>
      </c>
      <c r="K19" s="20">
        <f>IF(C19="","",C19-((TRUNC((C19/1000000),0))*1000000))</f>
        <v>792316</v>
      </c>
      <c r="L19" s="20">
        <f ca="1">IF(A19="","",RANDBETWEEN(1,10))</f>
        <v>4</v>
      </c>
      <c r="M19" s="20" t="str">
        <f ca="1">IF(A19="","",IF(L19&lt;8,"calibracion","validacion"))</f>
        <v>calibracion</v>
      </c>
      <c r="N19" s="20" t="s">
        <v>825</v>
      </c>
    </row>
    <row r="20" spans="1:14" hidden="1" x14ac:dyDescent="0.25">
      <c r="A20" t="s">
        <v>38</v>
      </c>
      <c r="B20">
        <v>798325</v>
      </c>
      <c r="C20" t="s">
        <v>39</v>
      </c>
      <c r="D20" t="s">
        <v>2</v>
      </c>
      <c r="E20">
        <v>3.07</v>
      </c>
      <c r="F20" s="3" t="s">
        <v>3</v>
      </c>
      <c r="G20" t="s">
        <v>786</v>
      </c>
      <c r="H20" s="4">
        <v>0.38</v>
      </c>
      <c r="I20" t="s">
        <v>787</v>
      </c>
      <c r="K20" s="20">
        <f>IF(C20="","",C20-((TRUNC((C20/1000000),0))*1000000))</f>
        <v>798325</v>
      </c>
      <c r="L20" s="20">
        <f ca="1">IF(A20="","",RANDBETWEEN(1,10))</f>
        <v>2</v>
      </c>
      <c r="M20" s="20" t="str">
        <f ca="1">IF(A20="","",IF(L20&lt;8,"calibracion","validacion"))</f>
        <v>calibracion</v>
      </c>
      <c r="N20" s="20" t="s">
        <v>825</v>
      </c>
    </row>
    <row r="21" spans="1:14" hidden="1" x14ac:dyDescent="0.25">
      <c r="A21" t="s">
        <v>40</v>
      </c>
      <c r="B21">
        <v>834329</v>
      </c>
      <c r="C21" t="s">
        <v>41</v>
      </c>
      <c r="D21" t="s">
        <v>2</v>
      </c>
      <c r="E21">
        <v>4.1500000000000004</v>
      </c>
      <c r="F21" s="3" t="s">
        <v>3</v>
      </c>
      <c r="G21" t="s">
        <v>786</v>
      </c>
      <c r="H21" s="4">
        <v>0.75</v>
      </c>
      <c r="I21" t="s">
        <v>787</v>
      </c>
      <c r="K21" s="20">
        <f>IF(C21="","",C21-((TRUNC((C21/1000000),0))*1000000))</f>
        <v>834329</v>
      </c>
      <c r="L21" s="20">
        <f ca="1">IF(A21="","",RANDBETWEEN(1,10))</f>
        <v>2</v>
      </c>
      <c r="M21" s="20" t="str">
        <f ca="1">IF(A21="","",IF(L21&lt;8,"calibracion","validacion"))</f>
        <v>calibracion</v>
      </c>
      <c r="N21" s="20" t="s">
        <v>825</v>
      </c>
    </row>
    <row r="22" spans="1:14" hidden="1" x14ac:dyDescent="0.25">
      <c r="A22" t="s">
        <v>46</v>
      </c>
      <c r="B22">
        <v>840333</v>
      </c>
      <c r="C22" t="s">
        <v>47</v>
      </c>
      <c r="D22" t="s">
        <v>2</v>
      </c>
      <c r="E22">
        <v>3.5</v>
      </c>
      <c r="F22" s="3" t="s">
        <v>3</v>
      </c>
      <c r="G22" t="s">
        <v>786</v>
      </c>
      <c r="H22" s="4">
        <v>0.54</v>
      </c>
      <c r="I22" t="s">
        <v>787</v>
      </c>
      <c r="K22" s="20">
        <f>IF(C22="","",C22-((TRUNC((C22/1000000),0))*1000000))</f>
        <v>840333</v>
      </c>
      <c r="L22" s="20">
        <f ca="1">IF(A22="","",RANDBETWEEN(1,10))</f>
        <v>7</v>
      </c>
      <c r="M22" s="20" t="str">
        <f ca="1">IF(A22="","",IF(L22&lt;8,"calibracion","validacion"))</f>
        <v>calibracion</v>
      </c>
      <c r="N22" s="20" t="s">
        <v>825</v>
      </c>
    </row>
    <row r="23" spans="1:14" x14ac:dyDescent="0.25">
      <c r="A23" t="s">
        <v>48</v>
      </c>
      <c r="B23">
        <v>844310</v>
      </c>
      <c r="C23" t="s">
        <v>49</v>
      </c>
      <c r="D23" t="s">
        <v>2</v>
      </c>
      <c r="E23">
        <v>3.31</v>
      </c>
      <c r="F23" s="3" t="s">
        <v>3</v>
      </c>
      <c r="G23" t="s">
        <v>786</v>
      </c>
      <c r="H23" s="4">
        <v>0.72</v>
      </c>
      <c r="I23" t="s">
        <v>787</v>
      </c>
      <c r="K23" s="20">
        <f>IF(C23="","",C23-((TRUNC((C23/1000000),0))*1000000))</f>
        <v>844310</v>
      </c>
      <c r="L23" s="20">
        <f ca="1">IF(A23="","",RANDBETWEEN(1,10))</f>
        <v>4</v>
      </c>
      <c r="M23" s="20" t="str">
        <f ca="1">IF(A23="","",IF(L23&lt;8,"calibracion","validacion"))</f>
        <v>calibracion</v>
      </c>
      <c r="N23" s="20" t="s">
        <v>824</v>
      </c>
    </row>
    <row r="24" spans="1:14" hidden="1" x14ac:dyDescent="0.25">
      <c r="A24" t="s">
        <v>50</v>
      </c>
      <c r="B24">
        <v>844312</v>
      </c>
      <c r="C24" t="s">
        <v>51</v>
      </c>
      <c r="D24" t="s">
        <v>2</v>
      </c>
      <c r="E24">
        <v>3.99</v>
      </c>
      <c r="F24" s="3" t="s">
        <v>3</v>
      </c>
      <c r="G24" t="s">
        <v>786</v>
      </c>
      <c r="H24" s="4">
        <v>0.51</v>
      </c>
      <c r="I24" t="s">
        <v>790</v>
      </c>
      <c r="K24" s="20">
        <f>IF(C24="","",C24-((TRUNC((C24/1000000),0))*1000000))</f>
        <v>844312</v>
      </c>
      <c r="L24" s="20">
        <f ca="1">IF(A24="","",RANDBETWEEN(1,10))</f>
        <v>7</v>
      </c>
      <c r="M24" s="20" t="str">
        <f ca="1">IF(A24="","",IF(L24&lt;8,"calibracion","validacion"))</f>
        <v>calibracion</v>
      </c>
      <c r="N24" s="20" t="s">
        <v>825</v>
      </c>
    </row>
    <row r="25" spans="1:14" x14ac:dyDescent="0.25">
      <c r="A25" t="s">
        <v>44</v>
      </c>
      <c r="B25">
        <v>844318</v>
      </c>
      <c r="C25" t="s">
        <v>45</v>
      </c>
      <c r="D25" t="s">
        <v>2</v>
      </c>
      <c r="E25">
        <v>3.3</v>
      </c>
      <c r="F25" s="3" t="s">
        <v>3</v>
      </c>
      <c r="G25" t="s">
        <v>786</v>
      </c>
      <c r="H25" s="4">
        <v>0.51</v>
      </c>
      <c r="I25" t="s">
        <v>787</v>
      </c>
      <c r="K25" s="20">
        <f>IF(C25="","",C25-((TRUNC((C25/1000000),0))*1000000))</f>
        <v>844318</v>
      </c>
      <c r="L25" s="20">
        <f ca="1">IF(A25="","",RANDBETWEEN(1,10))</f>
        <v>4</v>
      </c>
      <c r="M25" s="20" t="str">
        <f ca="1">IF(A25="","",IF(L25&lt;8,"calibracion","validacion"))</f>
        <v>calibracion</v>
      </c>
      <c r="N25" s="20" t="s">
        <v>824</v>
      </c>
    </row>
    <row r="26" spans="1:14" hidden="1" x14ac:dyDescent="0.25">
      <c r="A26" t="s">
        <v>42</v>
      </c>
      <c r="B26">
        <v>844321</v>
      </c>
      <c r="C26" t="s">
        <v>43</v>
      </c>
      <c r="D26" t="s">
        <v>2</v>
      </c>
      <c r="E26">
        <v>2.8</v>
      </c>
      <c r="F26" s="3" t="s">
        <v>3</v>
      </c>
      <c r="G26" t="s">
        <v>786</v>
      </c>
      <c r="H26" s="4">
        <v>2.3199999999999998</v>
      </c>
      <c r="I26" t="s">
        <v>787</v>
      </c>
      <c r="K26" s="20">
        <f>IF(C26="","",C26-((TRUNC((C26/1000000),0))*1000000))</f>
        <v>844321</v>
      </c>
      <c r="L26" s="20">
        <f ca="1">IF(A26="","",RANDBETWEEN(1,10))</f>
        <v>10</v>
      </c>
      <c r="M26" s="20" t="str">
        <f ca="1">IF(A26="","",IF(L26&lt;8,"calibracion","validacion"))</f>
        <v>validacion</v>
      </c>
      <c r="N26" s="20" t="s">
        <v>825</v>
      </c>
    </row>
    <row r="27" spans="1:14" x14ac:dyDescent="0.25">
      <c r="A27" t="s">
        <v>52</v>
      </c>
      <c r="B27">
        <v>844327</v>
      </c>
      <c r="C27" t="s">
        <v>53</v>
      </c>
      <c r="D27" t="s">
        <v>2</v>
      </c>
      <c r="E27">
        <v>3.06</v>
      </c>
      <c r="F27" s="3" t="s">
        <v>3</v>
      </c>
      <c r="G27" t="s">
        <v>786</v>
      </c>
      <c r="H27" s="4">
        <v>1.17</v>
      </c>
      <c r="I27" t="s">
        <v>787</v>
      </c>
      <c r="K27" s="20">
        <f>IF(C27="","",C27-((TRUNC((C27/1000000),0))*1000000))</f>
        <v>844327</v>
      </c>
      <c r="L27" s="20">
        <f ca="1">IF(A27="","",RANDBETWEEN(1,10))</f>
        <v>3</v>
      </c>
      <c r="M27" s="20" t="str">
        <f ca="1">IF(A27="","",IF(L27&lt;8,"calibracion","validacion"))</f>
        <v>calibracion</v>
      </c>
      <c r="N27" s="20" t="s">
        <v>824</v>
      </c>
    </row>
    <row r="28" spans="1:14" hidden="1" x14ac:dyDescent="0.25">
      <c r="A28" t="s">
        <v>54</v>
      </c>
      <c r="B28">
        <v>844332</v>
      </c>
      <c r="C28" t="s">
        <v>55</v>
      </c>
      <c r="D28" t="s">
        <v>2</v>
      </c>
      <c r="E28">
        <v>3.05</v>
      </c>
      <c r="F28" s="3" t="s">
        <v>3</v>
      </c>
      <c r="G28" t="s">
        <v>786</v>
      </c>
      <c r="H28" s="4">
        <v>1.18</v>
      </c>
      <c r="I28" t="s">
        <v>787</v>
      </c>
      <c r="K28" s="20">
        <f>IF(C28="","",C28-((TRUNC((C28/1000000),0))*1000000))</f>
        <v>844332</v>
      </c>
      <c r="L28" s="20">
        <f ca="1">IF(A28="","",RANDBETWEEN(1,10))</f>
        <v>6</v>
      </c>
      <c r="M28" s="20" t="str">
        <f ca="1">IF(A28="","",IF(L28&lt;8,"calibracion","validacion"))</f>
        <v>calibracion</v>
      </c>
      <c r="N28" s="20" t="s">
        <v>825</v>
      </c>
    </row>
    <row r="29" spans="1:14" hidden="1" x14ac:dyDescent="0.25">
      <c r="A29" t="s">
        <v>56</v>
      </c>
      <c r="B29">
        <v>844334</v>
      </c>
      <c r="C29" t="s">
        <v>57</v>
      </c>
      <c r="D29" t="s">
        <v>2</v>
      </c>
      <c r="E29">
        <v>2.7</v>
      </c>
      <c r="F29" s="3" t="s">
        <v>3</v>
      </c>
      <c r="G29" t="s">
        <v>786</v>
      </c>
      <c r="H29" s="4">
        <v>1.68</v>
      </c>
      <c r="I29" t="s">
        <v>787</v>
      </c>
      <c r="K29" s="20">
        <f>IF(C29="","",C29-((TRUNC((C29/1000000),0))*1000000))</f>
        <v>844334</v>
      </c>
      <c r="L29" s="20">
        <f ca="1">IF(A29="","",RANDBETWEEN(1,10))</f>
        <v>4</v>
      </c>
      <c r="M29" s="20" t="str">
        <f ca="1">IF(A29="","",IF(L29&lt;8,"calibracion","validacion"))</f>
        <v>calibracion</v>
      </c>
      <c r="N29" s="20" t="s">
        <v>825</v>
      </c>
    </row>
    <row r="30" spans="1:14" hidden="1" x14ac:dyDescent="0.25">
      <c r="A30" t="s">
        <v>58</v>
      </c>
      <c r="B30">
        <v>844335</v>
      </c>
      <c r="C30" t="s">
        <v>59</v>
      </c>
      <c r="D30" t="s">
        <v>2</v>
      </c>
      <c r="E30">
        <v>3.08</v>
      </c>
      <c r="F30" s="3" t="s">
        <v>3</v>
      </c>
      <c r="G30" t="s">
        <v>786</v>
      </c>
      <c r="H30" s="4">
        <v>0.72</v>
      </c>
      <c r="I30" t="s">
        <v>787</v>
      </c>
      <c r="K30" s="20">
        <f>IF(C30="","",C30-((TRUNC((C30/1000000),0))*1000000))</f>
        <v>844335</v>
      </c>
      <c r="L30" s="20">
        <f ca="1">IF(A30="","",RANDBETWEEN(1,10))</f>
        <v>4</v>
      </c>
      <c r="M30" s="20" t="str">
        <f ca="1">IF(A30="","",IF(L30&lt;8,"calibracion","validacion"))</f>
        <v>calibracion</v>
      </c>
      <c r="N30" s="20" t="s">
        <v>825</v>
      </c>
    </row>
    <row r="31" spans="1:14" hidden="1" x14ac:dyDescent="0.25">
      <c r="A31" t="s">
        <v>60</v>
      </c>
      <c r="B31">
        <v>198335</v>
      </c>
      <c r="C31" t="s">
        <v>61</v>
      </c>
      <c r="D31" t="s">
        <v>2</v>
      </c>
      <c r="E31">
        <v>2.12</v>
      </c>
      <c r="F31" s="3" t="s">
        <v>3</v>
      </c>
      <c r="G31" t="s">
        <v>786</v>
      </c>
      <c r="H31" s="4">
        <v>0.34</v>
      </c>
      <c r="I31" t="s">
        <v>787</v>
      </c>
      <c r="K31" s="20">
        <f>IF(C31="","",C31-((TRUNC((C31/1000000),0))*1000000))</f>
        <v>198335</v>
      </c>
      <c r="L31" s="20">
        <f ca="1">IF(A31="","",RANDBETWEEN(1,10))</f>
        <v>10</v>
      </c>
      <c r="M31" s="20" t="str">
        <f ca="1">IF(A31="","",IF(L31&lt;8,"calibracion","validacion"))</f>
        <v>validacion</v>
      </c>
      <c r="N31" s="20" t="s">
        <v>825</v>
      </c>
    </row>
    <row r="32" spans="1:14" x14ac:dyDescent="0.25">
      <c r="A32" t="s">
        <v>66</v>
      </c>
      <c r="B32">
        <v>198336</v>
      </c>
      <c r="C32" t="s">
        <v>67</v>
      </c>
      <c r="D32" t="s">
        <v>2</v>
      </c>
      <c r="E32">
        <v>2.94</v>
      </c>
      <c r="F32" s="3" t="s">
        <v>3</v>
      </c>
      <c r="G32" t="s">
        <v>786</v>
      </c>
      <c r="H32" s="4">
        <v>0.49</v>
      </c>
      <c r="I32" t="s">
        <v>787</v>
      </c>
      <c r="K32" s="20">
        <f>IF(C32="","",C32-((TRUNC((C32/1000000),0))*1000000))</f>
        <v>198336</v>
      </c>
      <c r="L32" s="20">
        <f ca="1">IF(A32="","",RANDBETWEEN(1,10))</f>
        <v>10</v>
      </c>
      <c r="M32" s="20" t="str">
        <f ca="1">IF(A32="","",IF(L32&lt;8,"calibracion","validacion"))</f>
        <v>validacion</v>
      </c>
      <c r="N32" s="20" t="s">
        <v>824</v>
      </c>
    </row>
    <row r="33" spans="1:14" hidden="1" x14ac:dyDescent="0.25">
      <c r="A33" t="s">
        <v>64</v>
      </c>
      <c r="B33">
        <v>198337</v>
      </c>
      <c r="C33" t="s">
        <v>65</v>
      </c>
      <c r="D33" t="s">
        <v>2</v>
      </c>
      <c r="E33">
        <v>2.4</v>
      </c>
      <c r="F33" s="3" t="s">
        <v>3</v>
      </c>
      <c r="G33" t="s">
        <v>786</v>
      </c>
      <c r="H33" s="4">
        <v>0.48</v>
      </c>
      <c r="I33" t="s">
        <v>787</v>
      </c>
      <c r="K33" s="20">
        <f>IF(C33="","",C33-((TRUNC((C33/1000000),0))*1000000))</f>
        <v>198337</v>
      </c>
      <c r="L33" s="20">
        <f ca="1">IF(A33="","",RANDBETWEEN(1,10))</f>
        <v>3</v>
      </c>
      <c r="M33" s="20" t="str">
        <f ca="1">IF(A33="","",IF(L33&lt;8,"calibracion","validacion"))</f>
        <v>calibracion</v>
      </c>
      <c r="N33" s="20" t="s">
        <v>825</v>
      </c>
    </row>
    <row r="34" spans="1:14" x14ac:dyDescent="0.25">
      <c r="A34" t="s">
        <v>62</v>
      </c>
      <c r="B34">
        <v>198338</v>
      </c>
      <c r="C34" t="s">
        <v>63</v>
      </c>
      <c r="D34" t="s">
        <v>2</v>
      </c>
      <c r="E34">
        <v>2.31</v>
      </c>
      <c r="F34" s="3" t="s">
        <v>3</v>
      </c>
      <c r="G34" t="s">
        <v>786</v>
      </c>
      <c r="H34" s="4">
        <v>0.34</v>
      </c>
      <c r="I34" t="s">
        <v>787</v>
      </c>
      <c r="K34" s="20">
        <f>IF(C34="","",C34-((TRUNC((C34/1000000),0))*1000000))</f>
        <v>198338</v>
      </c>
      <c r="L34" s="20">
        <f ca="1">IF(A34="","",RANDBETWEEN(1,10))</f>
        <v>3</v>
      </c>
      <c r="M34" s="20" t="str">
        <f ca="1">IF(A34="","",IF(L34&lt;8,"calibracion","validacion"))</f>
        <v>calibracion</v>
      </c>
      <c r="N34" s="20" t="s">
        <v>824</v>
      </c>
    </row>
    <row r="35" spans="1:14" hidden="1" x14ac:dyDescent="0.25">
      <c r="A35" t="s">
        <v>68</v>
      </c>
      <c r="B35">
        <v>206332</v>
      </c>
      <c r="C35" t="s">
        <v>69</v>
      </c>
      <c r="D35" t="s">
        <v>2</v>
      </c>
      <c r="E35">
        <v>2.2599999999999998</v>
      </c>
      <c r="F35" s="3" t="s">
        <v>3</v>
      </c>
      <c r="G35" t="s">
        <v>786</v>
      </c>
      <c r="H35" s="4">
        <v>0.16</v>
      </c>
      <c r="I35" t="s">
        <v>787</v>
      </c>
      <c r="K35" s="20">
        <f>IF(C35="","",C35-((TRUNC((C35/1000000),0))*1000000))</f>
        <v>206332</v>
      </c>
      <c r="L35" s="20">
        <f ca="1">IF(A35="","",RANDBETWEEN(1,10))</f>
        <v>6</v>
      </c>
      <c r="M35" s="20" t="str">
        <f ca="1">IF(A35="","",IF(L35&lt;8,"calibracion","validacion"))</f>
        <v>calibracion</v>
      </c>
      <c r="N35" s="20" t="s">
        <v>825</v>
      </c>
    </row>
    <row r="36" spans="1:14" x14ac:dyDescent="0.25">
      <c r="A36" t="s">
        <v>70</v>
      </c>
      <c r="B36">
        <v>215337</v>
      </c>
      <c r="C36" t="s">
        <v>71</v>
      </c>
      <c r="D36" t="s">
        <v>2</v>
      </c>
      <c r="E36">
        <v>6.31</v>
      </c>
      <c r="F36" s="3" t="s">
        <v>3</v>
      </c>
      <c r="G36" t="s">
        <v>786</v>
      </c>
      <c r="H36" s="4">
        <v>0.17</v>
      </c>
      <c r="I36" t="s">
        <v>787</v>
      </c>
      <c r="K36" s="20">
        <f>IF(C36="","",C36-((TRUNC((C36/1000000),0))*1000000))</f>
        <v>215337</v>
      </c>
      <c r="L36" s="20">
        <f ca="1">IF(A36="","",RANDBETWEEN(1,10))</f>
        <v>9</v>
      </c>
      <c r="M36" s="20" t="str">
        <f ca="1">IF(A36="","",IF(L36&lt;8,"calibracion","validacion"))</f>
        <v>validacion</v>
      </c>
      <c r="N36" s="20" t="s">
        <v>824</v>
      </c>
    </row>
    <row r="37" spans="1:14" hidden="1" x14ac:dyDescent="0.25">
      <c r="A37" t="s">
        <v>72</v>
      </c>
      <c r="B37">
        <v>261321</v>
      </c>
      <c r="C37" t="s">
        <v>73</v>
      </c>
      <c r="D37" t="s">
        <v>2</v>
      </c>
      <c r="E37">
        <v>7.85</v>
      </c>
      <c r="F37" s="3" t="s">
        <v>3</v>
      </c>
      <c r="G37" t="s">
        <v>786</v>
      </c>
      <c r="H37" s="4">
        <v>0.11</v>
      </c>
      <c r="I37" t="s">
        <v>787</v>
      </c>
      <c r="K37" s="20">
        <f>IF(C37="","",C37-((TRUNC((C37/1000000),0))*1000000))</f>
        <v>261321</v>
      </c>
      <c r="L37" s="20">
        <f ca="1">IF(A37="","",RANDBETWEEN(1,10))</f>
        <v>7</v>
      </c>
      <c r="M37" s="20" t="str">
        <f ca="1">IF(A37="","",IF(L37&lt;8,"calibracion","validacion"))</f>
        <v>calibracion</v>
      </c>
      <c r="N37" s="20" t="s">
        <v>825</v>
      </c>
    </row>
    <row r="38" spans="1:14" hidden="1" x14ac:dyDescent="0.25">
      <c r="A38" t="s">
        <v>74</v>
      </c>
      <c r="B38">
        <v>287319</v>
      </c>
      <c r="C38" t="s">
        <v>75</v>
      </c>
      <c r="D38" t="s">
        <v>2</v>
      </c>
      <c r="E38">
        <v>3.55</v>
      </c>
      <c r="F38" s="3" t="s">
        <v>3</v>
      </c>
      <c r="G38" t="s">
        <v>786</v>
      </c>
      <c r="H38" s="4">
        <v>0.49</v>
      </c>
      <c r="I38" t="s">
        <v>787</v>
      </c>
      <c r="K38" s="20">
        <f>IF(C38="","",C38-((TRUNC((C38/1000000),0))*1000000))</f>
        <v>287319</v>
      </c>
      <c r="L38" s="20">
        <f ca="1">IF(A38="","",RANDBETWEEN(1,10))</f>
        <v>1</v>
      </c>
      <c r="M38" s="20" t="str">
        <f ca="1">IF(A38="","",IF(L38&lt;8,"calibracion","validacion"))</f>
        <v>calibracion</v>
      </c>
      <c r="N38" s="20" t="s">
        <v>825</v>
      </c>
    </row>
    <row r="39" spans="1:14" x14ac:dyDescent="0.25">
      <c r="A39" t="s">
        <v>76</v>
      </c>
      <c r="B39">
        <v>467340</v>
      </c>
      <c r="C39" t="s">
        <v>77</v>
      </c>
      <c r="D39" t="s">
        <v>2</v>
      </c>
      <c r="E39">
        <v>3.38</v>
      </c>
      <c r="F39" s="3" t="s">
        <v>3</v>
      </c>
      <c r="G39" t="s">
        <v>786</v>
      </c>
      <c r="H39" s="4">
        <v>0.8</v>
      </c>
      <c r="I39" t="s">
        <v>787</v>
      </c>
      <c r="K39" s="20">
        <f>IF(C39="","",C39-((TRUNC((C39/1000000),0))*1000000))</f>
        <v>467340</v>
      </c>
      <c r="L39" s="20">
        <f ca="1">IF(A39="","",RANDBETWEEN(1,10))</f>
        <v>2</v>
      </c>
      <c r="M39" s="20" t="str">
        <f ca="1">IF(A39="","",IF(L39&lt;8,"calibracion","validacion"))</f>
        <v>calibracion</v>
      </c>
      <c r="N39" s="20" t="s">
        <v>824</v>
      </c>
    </row>
    <row r="40" spans="1:14" hidden="1" x14ac:dyDescent="0.25">
      <c r="A40" t="s">
        <v>78</v>
      </c>
      <c r="B40">
        <v>468302</v>
      </c>
      <c r="C40" t="s">
        <v>79</v>
      </c>
      <c r="D40" t="s">
        <v>2</v>
      </c>
      <c r="E40">
        <v>3.46</v>
      </c>
      <c r="F40" s="3" t="s">
        <v>3</v>
      </c>
      <c r="G40" t="s">
        <v>786</v>
      </c>
      <c r="H40" s="4">
        <v>0.56000000000000005</v>
      </c>
      <c r="I40" t="s">
        <v>787</v>
      </c>
      <c r="K40" s="20">
        <f>IF(C40="","",C40-((TRUNC((C40/1000000),0))*1000000))</f>
        <v>468302</v>
      </c>
      <c r="L40" s="20">
        <f ca="1">IF(A40="","",RANDBETWEEN(1,10))</f>
        <v>1</v>
      </c>
      <c r="M40" s="20" t="str">
        <f ca="1">IF(A40="","",IF(L40&lt;8,"calibracion","validacion"))</f>
        <v>calibracion</v>
      </c>
      <c r="N40" s="20" t="s">
        <v>825</v>
      </c>
    </row>
    <row r="41" spans="1:14" hidden="1" x14ac:dyDescent="0.25">
      <c r="A41" t="s">
        <v>80</v>
      </c>
      <c r="B41">
        <v>468310</v>
      </c>
      <c r="C41" t="s">
        <v>81</v>
      </c>
      <c r="D41" t="s">
        <v>2</v>
      </c>
      <c r="E41">
        <v>2.82</v>
      </c>
      <c r="F41" s="3" t="s">
        <v>3</v>
      </c>
      <c r="G41" t="s">
        <v>786</v>
      </c>
      <c r="H41" s="4">
        <v>1.49</v>
      </c>
      <c r="I41" t="s">
        <v>787</v>
      </c>
      <c r="K41" s="20">
        <f>IF(C41="","",C41-((TRUNC((C41/1000000),0))*1000000))</f>
        <v>468310</v>
      </c>
      <c r="L41" s="20">
        <f ca="1">IF(A41="","",RANDBETWEEN(1,10))</f>
        <v>6</v>
      </c>
      <c r="M41" s="20" t="str">
        <f ca="1">IF(A41="","",IF(L41&lt;8,"calibracion","validacion"))</f>
        <v>calibracion</v>
      </c>
      <c r="N41" s="20" t="s">
        <v>825</v>
      </c>
    </row>
    <row r="42" spans="1:14" hidden="1" x14ac:dyDescent="0.25">
      <c r="A42" t="s">
        <v>82</v>
      </c>
      <c r="B42">
        <v>468328</v>
      </c>
      <c r="C42" t="s">
        <v>83</v>
      </c>
      <c r="D42" t="s">
        <v>2</v>
      </c>
      <c r="E42">
        <v>3.35</v>
      </c>
      <c r="F42" s="3" t="s">
        <v>3</v>
      </c>
      <c r="G42" t="s">
        <v>786</v>
      </c>
      <c r="H42" s="4">
        <v>0.41</v>
      </c>
      <c r="I42" t="s">
        <v>787</v>
      </c>
      <c r="K42" s="20">
        <f>IF(C42="","",C42-((TRUNC((C42/1000000),0))*1000000))</f>
        <v>468328</v>
      </c>
      <c r="L42" s="20">
        <f ca="1">IF(A42="","",RANDBETWEEN(1,10))</f>
        <v>4</v>
      </c>
      <c r="M42" s="20" t="str">
        <f ca="1">IF(A42="","",IF(L42&lt;8,"calibracion","validacion"))</f>
        <v>calibracion</v>
      </c>
      <c r="N42" s="20" t="s">
        <v>825</v>
      </c>
    </row>
    <row r="43" spans="1:14" x14ac:dyDescent="0.25">
      <c r="A43" t="s">
        <v>84</v>
      </c>
      <c r="B43">
        <v>468331</v>
      </c>
      <c r="C43" t="s">
        <v>85</v>
      </c>
      <c r="D43" t="s">
        <v>2</v>
      </c>
      <c r="E43">
        <v>2.04</v>
      </c>
      <c r="F43" s="3" t="s">
        <v>3</v>
      </c>
      <c r="G43" t="s">
        <v>786</v>
      </c>
      <c r="H43" s="4">
        <v>2.87</v>
      </c>
      <c r="I43" t="s">
        <v>787</v>
      </c>
      <c r="K43" s="20">
        <f>IF(C43="","",C43-((TRUNC((C43/1000000),0))*1000000))</f>
        <v>468331</v>
      </c>
      <c r="L43" s="20">
        <f ca="1">IF(A43="","",RANDBETWEEN(1,10))</f>
        <v>6</v>
      </c>
      <c r="M43" s="20" t="str">
        <f ca="1">IF(A43="","",IF(L43&lt;8,"calibracion","validacion"))</f>
        <v>calibracion</v>
      </c>
      <c r="N43" s="20" t="s">
        <v>824</v>
      </c>
    </row>
    <row r="44" spans="1:14" hidden="1" x14ac:dyDescent="0.25">
      <c r="A44" t="s">
        <v>86</v>
      </c>
      <c r="B44">
        <v>477313</v>
      </c>
      <c r="C44" t="s">
        <v>87</v>
      </c>
      <c r="D44" t="s">
        <v>2</v>
      </c>
      <c r="E44">
        <v>5.4</v>
      </c>
      <c r="F44" s="3" t="s">
        <v>3</v>
      </c>
      <c r="G44" t="s">
        <v>786</v>
      </c>
      <c r="H44" s="4">
        <v>0.57999999999999996</v>
      </c>
      <c r="I44" t="s">
        <v>787</v>
      </c>
      <c r="K44" s="20">
        <f>IF(C44="","",C44-((TRUNC((C44/1000000),0))*1000000))</f>
        <v>477313</v>
      </c>
      <c r="L44" s="20">
        <f ca="1">IF(A44="","",RANDBETWEEN(1,10))</f>
        <v>9</v>
      </c>
      <c r="M44" s="20" t="str">
        <f ca="1">IF(A44="","",IF(L44&lt;8,"calibracion","validacion"))</f>
        <v>validacion</v>
      </c>
      <c r="N44" s="20" t="s">
        <v>825</v>
      </c>
    </row>
    <row r="45" spans="1:14" hidden="1" x14ac:dyDescent="0.25">
      <c r="A45" t="s">
        <v>88</v>
      </c>
      <c r="B45">
        <v>477335</v>
      </c>
      <c r="C45" t="s">
        <v>89</v>
      </c>
      <c r="D45" t="s">
        <v>2</v>
      </c>
      <c r="E45">
        <v>6.37</v>
      </c>
      <c r="F45" s="3" t="s">
        <v>3</v>
      </c>
      <c r="G45" t="s">
        <v>786</v>
      </c>
      <c r="H45" s="4">
        <v>0.25</v>
      </c>
      <c r="I45" t="s">
        <v>787</v>
      </c>
      <c r="K45" s="20">
        <f>IF(C45="","",C45-((TRUNC((C45/1000000),0))*1000000))</f>
        <v>477335</v>
      </c>
      <c r="L45" s="20">
        <f ca="1">IF(A45="","",RANDBETWEEN(1,10))</f>
        <v>9</v>
      </c>
      <c r="M45" s="20" t="str">
        <f ca="1">IF(A45="","",IF(L45&lt;8,"calibracion","validacion"))</f>
        <v>validacion</v>
      </c>
      <c r="N45" s="20" t="s">
        <v>825</v>
      </c>
    </row>
    <row r="46" spans="1:14" hidden="1" x14ac:dyDescent="0.25">
      <c r="A46" t="s">
        <v>92</v>
      </c>
      <c r="B46">
        <v>716323</v>
      </c>
      <c r="C46" t="s">
        <v>93</v>
      </c>
      <c r="D46" t="s">
        <v>2</v>
      </c>
      <c r="E46">
        <v>3.05</v>
      </c>
      <c r="F46" s="3" t="s">
        <v>3</v>
      </c>
      <c r="G46" t="s">
        <v>786</v>
      </c>
      <c r="H46" s="4">
        <v>0.83</v>
      </c>
      <c r="I46" t="s">
        <v>787</v>
      </c>
      <c r="K46" s="20">
        <f>IF(C46="","",C46-((TRUNC((C46/1000000),0))*1000000))</f>
        <v>716323</v>
      </c>
      <c r="L46" s="20">
        <f ca="1">IF(A46="","",RANDBETWEEN(1,10))</f>
        <v>3</v>
      </c>
      <c r="M46" s="20" t="str">
        <f ca="1">IF(A46="","",IF(L46&lt;8,"calibracion","validacion"))</f>
        <v>calibracion</v>
      </c>
      <c r="N46" s="20" t="s">
        <v>825</v>
      </c>
    </row>
    <row r="47" spans="1:14" hidden="1" x14ac:dyDescent="0.25">
      <c r="A47" t="s">
        <v>90</v>
      </c>
      <c r="B47">
        <v>719303</v>
      </c>
      <c r="C47" t="s">
        <v>91</v>
      </c>
      <c r="D47" t="s">
        <v>2</v>
      </c>
      <c r="E47">
        <v>3.25</v>
      </c>
      <c r="F47" s="3" t="s">
        <v>3</v>
      </c>
      <c r="G47" t="s">
        <v>786</v>
      </c>
      <c r="H47" s="4">
        <v>0.56999999999999995</v>
      </c>
      <c r="I47" t="s">
        <v>787</v>
      </c>
      <c r="K47" s="20">
        <f>IF(C47="","",C47-((TRUNC((C47/1000000),0))*1000000))</f>
        <v>719303</v>
      </c>
      <c r="L47" s="20">
        <f ca="1">IF(A47="","",RANDBETWEEN(1,10))</f>
        <v>1</v>
      </c>
      <c r="M47" s="20" t="str">
        <f ca="1">IF(A47="","",IF(L47&lt;8,"calibracion","validacion"))</f>
        <v>calibracion</v>
      </c>
      <c r="N47" s="20" t="s">
        <v>825</v>
      </c>
    </row>
    <row r="48" spans="1:14" hidden="1" x14ac:dyDescent="0.25">
      <c r="A48" t="s">
        <v>94</v>
      </c>
      <c r="B48">
        <v>719306</v>
      </c>
      <c r="C48" t="s">
        <v>95</v>
      </c>
      <c r="D48" t="s">
        <v>2</v>
      </c>
      <c r="E48">
        <v>3.34</v>
      </c>
      <c r="F48" s="3" t="s">
        <v>3</v>
      </c>
      <c r="G48" t="s">
        <v>786</v>
      </c>
      <c r="H48" s="4">
        <v>1</v>
      </c>
      <c r="I48" t="s">
        <v>787</v>
      </c>
      <c r="K48" s="20">
        <f>IF(C48="","",C48-((TRUNC((C48/1000000),0))*1000000))</f>
        <v>719306</v>
      </c>
      <c r="L48" s="20">
        <f ca="1">IF(A48="","",RANDBETWEEN(1,10))</f>
        <v>8</v>
      </c>
      <c r="M48" s="20" t="str">
        <f ca="1">IF(A48="","",IF(L48&lt;8,"calibracion","validacion"))</f>
        <v>validacion</v>
      </c>
      <c r="N48" s="20" t="s">
        <v>825</v>
      </c>
    </row>
    <row r="49" spans="1:14" hidden="1" x14ac:dyDescent="0.25">
      <c r="A49" t="s">
        <v>96</v>
      </c>
      <c r="B49">
        <v>719309</v>
      </c>
      <c r="C49" t="s">
        <v>97</v>
      </c>
      <c r="D49" t="s">
        <v>2</v>
      </c>
      <c r="E49">
        <v>4.09</v>
      </c>
      <c r="F49" s="3" t="s">
        <v>3</v>
      </c>
      <c r="G49" t="s">
        <v>786</v>
      </c>
      <c r="H49" s="4">
        <v>0.94</v>
      </c>
      <c r="I49" t="s">
        <v>787</v>
      </c>
      <c r="K49" s="20">
        <f>IF(C49="","",C49-((TRUNC((C49/1000000),0))*1000000))</f>
        <v>719309</v>
      </c>
      <c r="L49" s="20">
        <f ca="1">IF(A49="","",RANDBETWEEN(1,10))</f>
        <v>3</v>
      </c>
      <c r="M49" s="20" t="str">
        <f ca="1">IF(A49="","",IF(L49&lt;8,"calibracion","validacion"))</f>
        <v>calibracion</v>
      </c>
      <c r="N49" s="20" t="s">
        <v>825</v>
      </c>
    </row>
    <row r="50" spans="1:14" x14ac:dyDescent="0.25">
      <c r="A50" t="s">
        <v>100</v>
      </c>
      <c r="B50">
        <v>719311</v>
      </c>
      <c r="C50" t="s">
        <v>101</v>
      </c>
      <c r="D50" t="s">
        <v>2</v>
      </c>
      <c r="E50">
        <v>3.07</v>
      </c>
      <c r="F50" s="3">
        <v>48111</v>
      </c>
      <c r="G50" t="s">
        <v>786</v>
      </c>
      <c r="H50" s="4">
        <v>0.59</v>
      </c>
      <c r="I50" t="s">
        <v>787</v>
      </c>
      <c r="K50" s="20">
        <f>IF(C50="","",C50-((TRUNC((C50/1000000),0))*1000000))</f>
        <v>719311</v>
      </c>
      <c r="L50" s="20">
        <f ca="1">IF(A50="","",RANDBETWEEN(1,10))</f>
        <v>2</v>
      </c>
      <c r="M50" s="20" t="str">
        <f ca="1">IF(A50="","",IF(L50&lt;8,"calibracion","validacion"))</f>
        <v>calibracion</v>
      </c>
      <c r="N50" s="20" t="s">
        <v>824</v>
      </c>
    </row>
    <row r="51" spans="1:14" hidden="1" x14ac:dyDescent="0.25">
      <c r="A51" t="s">
        <v>98</v>
      </c>
      <c r="B51">
        <v>719315</v>
      </c>
      <c r="C51" t="s">
        <v>99</v>
      </c>
      <c r="D51" t="s">
        <v>2</v>
      </c>
      <c r="E51">
        <v>3.05</v>
      </c>
      <c r="F51" s="3" t="s">
        <v>3</v>
      </c>
      <c r="G51" t="s">
        <v>786</v>
      </c>
      <c r="H51" s="4">
        <v>0.77</v>
      </c>
      <c r="I51" t="s">
        <v>787</v>
      </c>
      <c r="K51" s="20">
        <f>IF(C51="","",C51-((TRUNC((C51/1000000),0))*1000000))</f>
        <v>719315</v>
      </c>
      <c r="L51" s="20">
        <f ca="1">IF(A51="","",RANDBETWEEN(1,10))</f>
        <v>2</v>
      </c>
      <c r="M51" s="20" t="str">
        <f ca="1">IF(A51="","",IF(L51&lt;8,"calibracion","validacion"))</f>
        <v>calibracion</v>
      </c>
      <c r="N51" s="20" t="s">
        <v>825</v>
      </c>
    </row>
    <row r="52" spans="1:14" x14ac:dyDescent="0.25">
      <c r="A52" t="s">
        <v>102</v>
      </c>
      <c r="B52">
        <v>719320</v>
      </c>
      <c r="C52" t="s">
        <v>103</v>
      </c>
      <c r="D52" t="s">
        <v>2</v>
      </c>
      <c r="E52">
        <v>3.31</v>
      </c>
      <c r="F52" s="3" t="s">
        <v>3</v>
      </c>
      <c r="G52" t="s">
        <v>786</v>
      </c>
      <c r="H52" s="4">
        <v>0.47</v>
      </c>
      <c r="I52" t="s">
        <v>787</v>
      </c>
      <c r="K52" s="20">
        <f>IF(C52="","",C52-((TRUNC((C52/1000000),0))*1000000))</f>
        <v>719320</v>
      </c>
      <c r="L52" s="20">
        <f ca="1">IF(A52="","",RANDBETWEEN(1,10))</f>
        <v>9</v>
      </c>
      <c r="M52" s="20" t="str">
        <f ca="1">IF(A52="","",IF(L52&lt;8,"calibracion","validacion"))</f>
        <v>validacion</v>
      </c>
      <c r="N52" s="20" t="s">
        <v>824</v>
      </c>
    </row>
    <row r="53" spans="1:14" x14ac:dyDescent="0.25">
      <c r="A53" t="s">
        <v>108</v>
      </c>
      <c r="B53">
        <v>719330</v>
      </c>
      <c r="C53" t="s">
        <v>109</v>
      </c>
      <c r="D53" t="s">
        <v>2</v>
      </c>
      <c r="E53">
        <v>3.57</v>
      </c>
      <c r="F53" s="3" t="s">
        <v>3</v>
      </c>
      <c r="G53" t="s">
        <v>786</v>
      </c>
      <c r="H53" s="4">
        <v>0.48</v>
      </c>
      <c r="I53" t="s">
        <v>787</v>
      </c>
      <c r="K53" s="20">
        <f>IF(C53="","",C53-((TRUNC((C53/1000000),0))*1000000))</f>
        <v>719330</v>
      </c>
      <c r="L53" s="20">
        <f ca="1">IF(A53="","",RANDBETWEEN(1,10))</f>
        <v>1</v>
      </c>
      <c r="M53" s="20" t="str">
        <f ca="1">IF(A53="","",IF(L53&lt;8,"calibracion","validacion"))</f>
        <v>calibracion</v>
      </c>
      <c r="N53" s="20" t="s">
        <v>824</v>
      </c>
    </row>
    <row r="54" spans="1:14" x14ac:dyDescent="0.25">
      <c r="A54" t="s">
        <v>110</v>
      </c>
      <c r="B54">
        <v>719331</v>
      </c>
      <c r="C54" t="s">
        <v>111</v>
      </c>
      <c r="D54" t="s">
        <v>2</v>
      </c>
      <c r="E54">
        <v>4.91</v>
      </c>
      <c r="F54" s="3" t="s">
        <v>3</v>
      </c>
      <c r="G54" t="s">
        <v>786</v>
      </c>
      <c r="H54" s="4">
        <v>1.23</v>
      </c>
      <c r="I54" t="s">
        <v>787</v>
      </c>
      <c r="K54" s="20">
        <f>IF(C54="","",C54-((TRUNC((C54/1000000),0))*1000000))</f>
        <v>719331</v>
      </c>
      <c r="L54" s="20">
        <f ca="1">IF(A54="","",RANDBETWEEN(1,10))</f>
        <v>1</v>
      </c>
      <c r="M54" s="20" t="str">
        <f ca="1">IF(A54="","",IF(L54&lt;8,"calibracion","validacion"))</f>
        <v>calibracion</v>
      </c>
      <c r="N54" s="20" t="s">
        <v>824</v>
      </c>
    </row>
    <row r="55" spans="1:14" x14ac:dyDescent="0.25">
      <c r="A55" t="s">
        <v>104</v>
      </c>
      <c r="B55">
        <v>719338</v>
      </c>
      <c r="C55" t="s">
        <v>105</v>
      </c>
      <c r="D55" t="s">
        <v>2</v>
      </c>
      <c r="E55">
        <v>2.98</v>
      </c>
      <c r="F55" s="3" t="s">
        <v>3</v>
      </c>
      <c r="G55" t="s">
        <v>786</v>
      </c>
      <c r="H55" s="4">
        <v>0.75</v>
      </c>
      <c r="I55" t="s">
        <v>787</v>
      </c>
      <c r="K55" s="20">
        <f>IF(C55="","",C55-((TRUNC((C55/1000000),0))*1000000))</f>
        <v>719338</v>
      </c>
      <c r="L55" s="20">
        <f ca="1">IF(A55="","",RANDBETWEEN(1,10))</f>
        <v>4</v>
      </c>
      <c r="M55" s="20" t="str">
        <f ca="1">IF(A55="","",IF(L55&lt;8,"calibracion","validacion"))</f>
        <v>calibracion</v>
      </c>
      <c r="N55" s="20" t="s">
        <v>824</v>
      </c>
    </row>
    <row r="56" spans="1:14" x14ac:dyDescent="0.25">
      <c r="A56" t="s">
        <v>112</v>
      </c>
      <c r="B56">
        <v>719339</v>
      </c>
      <c r="C56" t="s">
        <v>113</v>
      </c>
      <c r="D56" t="s">
        <v>2</v>
      </c>
      <c r="E56">
        <v>3.16</v>
      </c>
      <c r="F56" s="3" t="s">
        <v>3</v>
      </c>
      <c r="G56" t="s">
        <v>786</v>
      </c>
      <c r="H56" s="4">
        <v>0.79</v>
      </c>
      <c r="I56" t="s">
        <v>787</v>
      </c>
      <c r="K56" s="20">
        <f>IF(C56="","",C56-((TRUNC((C56/1000000),0))*1000000))</f>
        <v>719339</v>
      </c>
      <c r="L56" s="20">
        <f ca="1">IF(A56="","",RANDBETWEEN(1,10))</f>
        <v>9</v>
      </c>
      <c r="M56" s="20" t="str">
        <f ca="1">IF(A56="","",IF(L56&lt;8,"calibracion","validacion"))</f>
        <v>validacion</v>
      </c>
      <c r="N56" s="20" t="s">
        <v>824</v>
      </c>
    </row>
    <row r="57" spans="1:14" x14ac:dyDescent="0.25">
      <c r="A57" t="s">
        <v>114</v>
      </c>
      <c r="B57">
        <v>784333</v>
      </c>
      <c r="C57" t="s">
        <v>115</v>
      </c>
      <c r="D57" t="s">
        <v>2</v>
      </c>
      <c r="E57">
        <v>2.06</v>
      </c>
      <c r="F57" s="3" t="s">
        <v>3</v>
      </c>
      <c r="G57" t="s">
        <v>786</v>
      </c>
      <c r="H57" s="4">
        <v>0.51</v>
      </c>
      <c r="I57" t="s">
        <v>787</v>
      </c>
      <c r="K57" s="20">
        <f>IF(C57="","",C57-((TRUNC((C57/1000000),0))*1000000))</f>
        <v>784333</v>
      </c>
      <c r="L57" s="20">
        <f ca="1">IF(A57="","",RANDBETWEEN(1,10))</f>
        <v>8</v>
      </c>
      <c r="M57" s="20" t="str">
        <f ca="1">IF(A57="","",IF(L57&lt;8,"calibracion","validacion"))</f>
        <v>validacion</v>
      </c>
      <c r="N57" s="20" t="s">
        <v>824</v>
      </c>
    </row>
    <row r="58" spans="1:14" hidden="1" x14ac:dyDescent="0.25">
      <c r="A58" t="s">
        <v>116</v>
      </c>
      <c r="B58">
        <v>794302</v>
      </c>
      <c r="C58" t="s">
        <v>117</v>
      </c>
      <c r="D58" t="s">
        <v>2</v>
      </c>
      <c r="E58">
        <v>7.31</v>
      </c>
      <c r="F58" s="3" t="s">
        <v>3</v>
      </c>
      <c r="G58" t="s">
        <v>786</v>
      </c>
      <c r="H58" s="4">
        <v>0.28000000000000003</v>
      </c>
      <c r="I58" t="s">
        <v>787</v>
      </c>
      <c r="K58" s="20">
        <f>IF(C58="","",C58-((TRUNC((C58/1000000),0))*1000000))</f>
        <v>794302</v>
      </c>
      <c r="L58" s="20">
        <f ca="1">IF(A58="","",RANDBETWEEN(1,10))</f>
        <v>8</v>
      </c>
      <c r="M58" s="20" t="str">
        <f ca="1">IF(A58="","",IF(L58&lt;8,"calibracion","validacion"))</f>
        <v>validacion</v>
      </c>
      <c r="N58" s="20" t="s">
        <v>825</v>
      </c>
    </row>
    <row r="59" spans="1:14" hidden="1" x14ac:dyDescent="0.25">
      <c r="A59" t="s">
        <v>118</v>
      </c>
      <c r="B59">
        <v>800338</v>
      </c>
      <c r="C59" t="s">
        <v>119</v>
      </c>
      <c r="D59" t="s">
        <v>2</v>
      </c>
      <c r="E59">
        <v>7.02</v>
      </c>
      <c r="F59" s="3" t="s">
        <v>3</v>
      </c>
      <c r="G59" t="s">
        <v>786</v>
      </c>
      <c r="H59" s="4">
        <v>0.2</v>
      </c>
      <c r="I59" t="s">
        <v>787</v>
      </c>
      <c r="K59" s="20">
        <f>IF(C59="","",C59-((TRUNC((C59/1000000),0))*1000000))</f>
        <v>800338</v>
      </c>
      <c r="L59" s="20">
        <f ca="1">IF(A59="","",RANDBETWEEN(1,10))</f>
        <v>4</v>
      </c>
      <c r="M59" s="20" t="str">
        <f ca="1">IF(A59="","",IF(L59&lt;8,"calibracion","validacion"))</f>
        <v>calibracion</v>
      </c>
      <c r="N59" s="20" t="s">
        <v>825</v>
      </c>
    </row>
    <row r="60" spans="1:14" x14ac:dyDescent="0.25">
      <c r="A60" t="s">
        <v>122</v>
      </c>
      <c r="B60">
        <v>836336</v>
      </c>
      <c r="C60" t="s">
        <v>123</v>
      </c>
      <c r="D60" t="s">
        <v>2</v>
      </c>
      <c r="E60">
        <v>3.45</v>
      </c>
      <c r="F60" s="3" t="s">
        <v>3</v>
      </c>
      <c r="G60" t="s">
        <v>786</v>
      </c>
      <c r="H60" s="4">
        <v>0.63</v>
      </c>
      <c r="I60" t="s">
        <v>787</v>
      </c>
      <c r="K60" s="20">
        <f>IF(C60="","",C60-((TRUNC((C60/1000000),0))*1000000))</f>
        <v>836336</v>
      </c>
      <c r="L60" s="20">
        <f ca="1">IF(A60="","",RANDBETWEEN(1,10))</f>
        <v>3</v>
      </c>
      <c r="M60" s="20" t="str">
        <f ca="1">IF(A60="","",IF(L60&lt;8,"calibracion","validacion"))</f>
        <v>calibracion</v>
      </c>
      <c r="N60" s="20" t="s">
        <v>824</v>
      </c>
    </row>
    <row r="61" spans="1:14" hidden="1" x14ac:dyDescent="0.25">
      <c r="A61" t="s">
        <v>124</v>
      </c>
      <c r="B61">
        <v>837302</v>
      </c>
      <c r="C61" t="s">
        <v>125</v>
      </c>
      <c r="D61" t="s">
        <v>2</v>
      </c>
      <c r="E61">
        <v>2.44</v>
      </c>
      <c r="F61" s="3" t="s">
        <v>3</v>
      </c>
      <c r="G61" t="s">
        <v>786</v>
      </c>
      <c r="H61" s="4">
        <v>0.84</v>
      </c>
      <c r="I61" t="s">
        <v>787</v>
      </c>
      <c r="K61" s="20">
        <f>IF(C61="","",C61-((TRUNC((C61/1000000),0))*1000000))</f>
        <v>837302</v>
      </c>
      <c r="L61" s="20">
        <f ca="1">IF(A61="","",RANDBETWEEN(1,10))</f>
        <v>3</v>
      </c>
      <c r="M61" s="20" t="str">
        <f ca="1">IF(A61="","",IF(L61&lt;8,"calibracion","validacion"))</f>
        <v>calibracion</v>
      </c>
      <c r="N61" s="20" t="s">
        <v>825</v>
      </c>
    </row>
    <row r="62" spans="1:14" hidden="1" x14ac:dyDescent="0.25">
      <c r="A62" t="s">
        <v>128</v>
      </c>
      <c r="B62">
        <v>847303</v>
      </c>
      <c r="C62" t="s">
        <v>129</v>
      </c>
      <c r="D62" t="s">
        <v>2</v>
      </c>
      <c r="E62">
        <v>6.65</v>
      </c>
      <c r="F62" s="3" t="s">
        <v>3</v>
      </c>
      <c r="G62" t="s">
        <v>786</v>
      </c>
      <c r="H62" s="4">
        <v>0.27</v>
      </c>
      <c r="I62" t="s">
        <v>787</v>
      </c>
      <c r="K62" s="20">
        <f>IF(C62="","",C62-((TRUNC((C62/1000000),0))*1000000))</f>
        <v>847303</v>
      </c>
      <c r="L62" s="20">
        <f ca="1">IF(A62="","",RANDBETWEEN(1,10))</f>
        <v>5</v>
      </c>
      <c r="M62" s="20" t="str">
        <f ca="1">IF(A62="","",IF(L62&lt;8,"calibracion","validacion"))</f>
        <v>calibracion</v>
      </c>
      <c r="N62" s="20" t="s">
        <v>825</v>
      </c>
    </row>
    <row r="63" spans="1:14" x14ac:dyDescent="0.25">
      <c r="A63" t="s">
        <v>126</v>
      </c>
      <c r="B63">
        <v>847321</v>
      </c>
      <c r="C63" t="s">
        <v>127</v>
      </c>
      <c r="D63" t="s">
        <v>2</v>
      </c>
      <c r="E63">
        <v>6.32</v>
      </c>
      <c r="F63" s="3" t="s">
        <v>3</v>
      </c>
      <c r="G63" t="s">
        <v>786</v>
      </c>
      <c r="H63" s="4">
        <v>0.54</v>
      </c>
      <c r="I63" t="s">
        <v>787</v>
      </c>
      <c r="K63" s="20">
        <f>IF(C63="","",C63-((TRUNC((C63/1000000),0))*1000000))</f>
        <v>847321</v>
      </c>
      <c r="L63" s="20">
        <f ca="1">IF(A63="","",RANDBETWEEN(1,10))</f>
        <v>7</v>
      </c>
      <c r="M63" s="20" t="str">
        <f ca="1">IF(A63="","",IF(L63&lt;8,"calibracion","validacion"))</f>
        <v>calibracion</v>
      </c>
      <c r="N63" s="20" t="s">
        <v>824</v>
      </c>
    </row>
    <row r="64" spans="1:14" hidden="1" x14ac:dyDescent="0.25">
      <c r="A64" t="s">
        <v>130</v>
      </c>
      <c r="B64">
        <v>137312</v>
      </c>
      <c r="C64" t="s">
        <v>131</v>
      </c>
      <c r="D64" t="s">
        <v>2</v>
      </c>
      <c r="E64">
        <v>7.05</v>
      </c>
      <c r="F64" s="3" t="s">
        <v>3</v>
      </c>
      <c r="G64" t="s">
        <v>786</v>
      </c>
      <c r="H64" s="4">
        <v>0.12</v>
      </c>
      <c r="I64" t="s">
        <v>787</v>
      </c>
      <c r="K64" s="20">
        <f>IF(C64="","",C64-((TRUNC((C64/1000000),0))*1000000))</f>
        <v>137312</v>
      </c>
      <c r="L64" s="20">
        <f ca="1">IF(A64="","",RANDBETWEEN(1,10))</f>
        <v>8</v>
      </c>
      <c r="M64" s="20" t="str">
        <f ca="1">IF(A64="","",IF(L64&lt;8,"calibracion","validacion"))</f>
        <v>validacion</v>
      </c>
      <c r="N64" s="20" t="s">
        <v>825</v>
      </c>
    </row>
    <row r="65" spans="1:14" x14ac:dyDescent="0.25">
      <c r="A65" t="s">
        <v>132</v>
      </c>
      <c r="B65">
        <v>180301</v>
      </c>
      <c r="C65" t="s">
        <v>133</v>
      </c>
      <c r="D65" t="s">
        <v>2</v>
      </c>
      <c r="E65">
        <v>2.98</v>
      </c>
      <c r="F65" s="3" t="s">
        <v>3</v>
      </c>
      <c r="G65" t="s">
        <v>786</v>
      </c>
      <c r="H65" s="4">
        <v>1.05</v>
      </c>
      <c r="I65" t="s">
        <v>787</v>
      </c>
      <c r="K65" s="20">
        <f>IF(C65="","",C65-((TRUNC((C65/1000000),0))*1000000))</f>
        <v>180301</v>
      </c>
      <c r="L65" s="20">
        <f ca="1">IF(A65="","",RANDBETWEEN(1,10))</f>
        <v>9</v>
      </c>
      <c r="M65" s="20" t="str">
        <f ca="1">IF(A65="","",IF(L65&lt;8,"calibracion","validacion"))</f>
        <v>validacion</v>
      </c>
      <c r="N65" s="20" t="s">
        <v>824</v>
      </c>
    </row>
    <row r="66" spans="1:14" x14ac:dyDescent="0.25">
      <c r="A66" t="s">
        <v>134</v>
      </c>
      <c r="B66">
        <v>187336</v>
      </c>
      <c r="C66" t="s">
        <v>135</v>
      </c>
      <c r="D66" t="s">
        <v>2</v>
      </c>
      <c r="E66">
        <v>3.94</v>
      </c>
      <c r="F66" s="3" t="s">
        <v>3</v>
      </c>
      <c r="G66" t="s">
        <v>786</v>
      </c>
      <c r="H66" s="4">
        <v>2.72</v>
      </c>
      <c r="I66" t="s">
        <v>787</v>
      </c>
      <c r="K66" s="20">
        <f>IF(C66="","",C66-((TRUNC((C66/1000000),0))*1000000))</f>
        <v>187336</v>
      </c>
      <c r="L66" s="20">
        <f ca="1">IF(A66="","",RANDBETWEEN(1,10))</f>
        <v>10</v>
      </c>
      <c r="M66" s="20" t="str">
        <f ca="1">IF(A66="","",IF(L66&lt;8,"calibracion","validacion"))</f>
        <v>validacion</v>
      </c>
      <c r="N66" s="20" t="s">
        <v>824</v>
      </c>
    </row>
    <row r="67" spans="1:14" hidden="1" x14ac:dyDescent="0.25">
      <c r="A67" t="s">
        <v>136</v>
      </c>
      <c r="B67">
        <v>188321</v>
      </c>
      <c r="C67" t="s">
        <v>137</v>
      </c>
      <c r="D67" t="s">
        <v>2</v>
      </c>
      <c r="E67">
        <v>3.22</v>
      </c>
      <c r="F67" s="3" t="s">
        <v>3</v>
      </c>
      <c r="G67" t="s">
        <v>786</v>
      </c>
      <c r="H67" s="4">
        <v>0.51</v>
      </c>
      <c r="I67" t="s">
        <v>787</v>
      </c>
      <c r="K67" s="20">
        <f>IF(C67="","",C67-((TRUNC((C67/1000000),0))*1000000))</f>
        <v>188321</v>
      </c>
      <c r="L67" s="20">
        <f ca="1">IF(A67="","",RANDBETWEEN(1,10))</f>
        <v>9</v>
      </c>
      <c r="M67" s="20" t="str">
        <f ca="1">IF(A67="","",IF(L67&lt;8,"calibracion","validacion"))</f>
        <v>validacion</v>
      </c>
      <c r="N67" s="20" t="s">
        <v>825</v>
      </c>
    </row>
    <row r="68" spans="1:14" x14ac:dyDescent="0.25">
      <c r="A68" t="s">
        <v>138</v>
      </c>
      <c r="B68">
        <v>408338</v>
      </c>
      <c r="C68" t="s">
        <v>139</v>
      </c>
      <c r="D68" t="s">
        <v>2</v>
      </c>
      <c r="E68">
        <v>7</v>
      </c>
      <c r="F68" s="3" t="s">
        <v>3</v>
      </c>
      <c r="G68" t="s">
        <v>786</v>
      </c>
      <c r="H68" s="4">
        <v>0.42</v>
      </c>
      <c r="I68" t="s">
        <v>787</v>
      </c>
      <c r="K68" s="20">
        <f>IF(C68="","",C68-((TRUNC((C68/1000000),0))*1000000))</f>
        <v>408338</v>
      </c>
      <c r="L68" s="20">
        <f ca="1">IF(A68="","",RANDBETWEEN(1,10))</f>
        <v>2</v>
      </c>
      <c r="M68" s="20" t="str">
        <f ca="1">IF(A68="","",IF(L68&lt;8,"calibracion","validacion"))</f>
        <v>calibracion</v>
      </c>
      <c r="N68" s="20" t="s">
        <v>824</v>
      </c>
    </row>
    <row r="69" spans="1:14" x14ac:dyDescent="0.25">
      <c r="A69" t="s">
        <v>140</v>
      </c>
      <c r="B69">
        <v>412318</v>
      </c>
      <c r="C69" t="s">
        <v>141</v>
      </c>
      <c r="D69" t="s">
        <v>2</v>
      </c>
      <c r="E69">
        <v>5.35</v>
      </c>
      <c r="F69" s="3" t="s">
        <v>3</v>
      </c>
      <c r="G69" t="s">
        <v>786</v>
      </c>
      <c r="H69" s="4">
        <v>0.76</v>
      </c>
      <c r="I69" t="s">
        <v>787</v>
      </c>
      <c r="K69" s="20">
        <f>IF(C69="","",C69-((TRUNC((C69/1000000),0))*1000000))</f>
        <v>412318</v>
      </c>
      <c r="L69" s="20">
        <f ca="1">IF(A69="","",RANDBETWEEN(1,10))</f>
        <v>1</v>
      </c>
      <c r="M69" s="20" t="str">
        <f ca="1">IF(A69="","",IF(L69&lt;8,"calibracion","validacion"))</f>
        <v>calibracion</v>
      </c>
      <c r="N69" s="20" t="s">
        <v>824</v>
      </c>
    </row>
    <row r="70" spans="1:14" hidden="1" x14ac:dyDescent="0.25">
      <c r="A70" t="s">
        <v>144</v>
      </c>
      <c r="B70">
        <v>441322</v>
      </c>
      <c r="C70" t="s">
        <v>145</v>
      </c>
      <c r="D70" t="s">
        <v>2</v>
      </c>
      <c r="E70">
        <v>3.08</v>
      </c>
      <c r="F70" s="3" t="s">
        <v>3</v>
      </c>
      <c r="G70" t="s">
        <v>786</v>
      </c>
      <c r="H70" s="4">
        <v>0.71</v>
      </c>
      <c r="I70" t="s">
        <v>787</v>
      </c>
      <c r="K70" s="20">
        <f>IF(C70="","",C70-((TRUNC((C70/1000000),0))*1000000))</f>
        <v>441322</v>
      </c>
      <c r="L70" s="20">
        <f ca="1">IF(A70="","",RANDBETWEEN(1,10))</f>
        <v>5</v>
      </c>
      <c r="M70" s="20" t="str">
        <f ca="1">IF(A70="","",IF(L70&lt;8,"calibracion","validacion"))</f>
        <v>calibracion</v>
      </c>
      <c r="N70" s="20" t="s">
        <v>825</v>
      </c>
    </row>
    <row r="71" spans="1:14" x14ac:dyDescent="0.25">
      <c r="A71" t="s">
        <v>142</v>
      </c>
      <c r="B71">
        <v>441325</v>
      </c>
      <c r="C71" t="s">
        <v>143</v>
      </c>
      <c r="D71" t="s">
        <v>2</v>
      </c>
      <c r="E71">
        <v>1.75</v>
      </c>
      <c r="F71" s="3" t="s">
        <v>3</v>
      </c>
      <c r="G71" t="s">
        <v>786</v>
      </c>
      <c r="H71" s="4">
        <v>1.17</v>
      </c>
      <c r="I71" t="s">
        <v>794</v>
      </c>
      <c r="K71" s="20">
        <f>IF(C71="","",C71-((TRUNC((C71/1000000),0))*1000000))</f>
        <v>441325</v>
      </c>
      <c r="L71" s="20">
        <f ca="1">IF(A71="","",RANDBETWEEN(1,10))</f>
        <v>4</v>
      </c>
      <c r="M71" s="20" t="str">
        <f ca="1">IF(A71="","",IF(L71&lt;8,"calibracion","validacion"))</f>
        <v>calibracion</v>
      </c>
      <c r="N71" s="20" t="s">
        <v>824</v>
      </c>
    </row>
    <row r="72" spans="1:14" hidden="1" x14ac:dyDescent="0.25">
      <c r="A72" t="s">
        <v>146</v>
      </c>
      <c r="B72">
        <v>441333</v>
      </c>
      <c r="C72" t="s">
        <v>147</v>
      </c>
      <c r="D72" t="s">
        <v>2</v>
      </c>
      <c r="E72">
        <v>3.9</v>
      </c>
      <c r="F72" s="3" t="s">
        <v>3</v>
      </c>
      <c r="G72" t="s">
        <v>786</v>
      </c>
      <c r="H72" s="4">
        <v>1.41</v>
      </c>
      <c r="I72" t="s">
        <v>787</v>
      </c>
      <c r="K72" s="20">
        <f>IF(C72="","",C72-((TRUNC((C72/1000000),0))*1000000))</f>
        <v>441333</v>
      </c>
      <c r="L72" s="20">
        <f ca="1">IF(A72="","",RANDBETWEEN(1,10))</f>
        <v>2</v>
      </c>
      <c r="M72" s="20" t="str">
        <f ca="1">IF(A72="","",IF(L72&lt;8,"calibracion","validacion"))</f>
        <v>calibracion</v>
      </c>
      <c r="N72" s="20" t="s">
        <v>825</v>
      </c>
    </row>
    <row r="73" spans="1:14" hidden="1" x14ac:dyDescent="0.25">
      <c r="A73" t="s">
        <v>148</v>
      </c>
      <c r="B73">
        <v>441334</v>
      </c>
      <c r="C73" t="s">
        <v>149</v>
      </c>
      <c r="D73" t="s">
        <v>2</v>
      </c>
      <c r="E73">
        <v>3.29</v>
      </c>
      <c r="F73" s="3" t="s">
        <v>3</v>
      </c>
      <c r="G73" t="s">
        <v>786</v>
      </c>
      <c r="H73" s="4">
        <v>0.61</v>
      </c>
      <c r="I73" t="s">
        <v>787</v>
      </c>
      <c r="K73" s="20">
        <f>IF(C73="","",C73-((TRUNC((C73/1000000),0))*1000000))</f>
        <v>441334</v>
      </c>
      <c r="L73" s="20">
        <f ca="1">IF(A73="","",RANDBETWEEN(1,10))</f>
        <v>8</v>
      </c>
      <c r="M73" s="20" t="str">
        <f ca="1">IF(A73="","",IF(L73&lt;8,"calibracion","validacion"))</f>
        <v>validacion</v>
      </c>
      <c r="N73" s="20" t="s">
        <v>825</v>
      </c>
    </row>
    <row r="74" spans="1:14" x14ac:dyDescent="0.25">
      <c r="A74" t="s">
        <v>150</v>
      </c>
      <c r="B74">
        <v>441336</v>
      </c>
      <c r="C74" t="s">
        <v>151</v>
      </c>
      <c r="D74" t="s">
        <v>2</v>
      </c>
      <c r="E74">
        <v>3.26</v>
      </c>
      <c r="F74" s="3" t="s">
        <v>3</v>
      </c>
      <c r="G74" t="s">
        <v>786</v>
      </c>
      <c r="H74" s="4">
        <v>0.71</v>
      </c>
      <c r="I74" t="s">
        <v>787</v>
      </c>
      <c r="K74" s="20">
        <f>IF(C74="","",C74-((TRUNC((C74/1000000),0))*1000000))</f>
        <v>441336</v>
      </c>
      <c r="L74" s="20">
        <f ca="1">IF(A74="","",RANDBETWEEN(1,10))</f>
        <v>6</v>
      </c>
      <c r="M74" s="20" t="str">
        <f ca="1">IF(A74="","",IF(L74&lt;8,"calibracion","validacion"))</f>
        <v>calibracion</v>
      </c>
      <c r="N74" s="20" t="s">
        <v>824</v>
      </c>
    </row>
    <row r="75" spans="1:14" hidden="1" x14ac:dyDescent="0.25">
      <c r="A75" t="s">
        <v>152</v>
      </c>
      <c r="B75">
        <v>445302</v>
      </c>
      <c r="C75" t="s">
        <v>153</v>
      </c>
      <c r="D75" t="s">
        <v>2</v>
      </c>
      <c r="E75">
        <v>2.73</v>
      </c>
      <c r="F75" s="3" t="s">
        <v>3</v>
      </c>
      <c r="G75" t="s">
        <v>786</v>
      </c>
      <c r="H75" s="4">
        <v>2.39</v>
      </c>
      <c r="I75" t="s">
        <v>787</v>
      </c>
      <c r="K75" s="20">
        <f>IF(C75="","",C75-((TRUNC((C75/1000000),0))*1000000))</f>
        <v>445302</v>
      </c>
      <c r="L75" s="20">
        <f ca="1">IF(A75="","",RANDBETWEEN(1,10))</f>
        <v>8</v>
      </c>
      <c r="M75" s="20" t="str">
        <f ca="1">IF(A75="","",IF(L75&lt;8,"calibracion","validacion"))</f>
        <v>validacion</v>
      </c>
      <c r="N75" s="20" t="s">
        <v>825</v>
      </c>
    </row>
    <row r="76" spans="1:14" hidden="1" x14ac:dyDescent="0.25">
      <c r="A76" t="s">
        <v>154</v>
      </c>
      <c r="B76">
        <v>445307</v>
      </c>
      <c r="C76" t="s">
        <v>155</v>
      </c>
      <c r="D76" t="s">
        <v>2</v>
      </c>
      <c r="E76">
        <v>2.33</v>
      </c>
      <c r="F76" s="3" t="s">
        <v>3</v>
      </c>
      <c r="G76" t="s">
        <v>786</v>
      </c>
      <c r="H76" s="4">
        <v>1.05</v>
      </c>
      <c r="I76" t="s">
        <v>787</v>
      </c>
      <c r="K76" s="20">
        <f>IF(C76="","",C76-((TRUNC((C76/1000000),0))*1000000))</f>
        <v>445307</v>
      </c>
      <c r="L76" s="20">
        <f ca="1">IF(A76="","",RANDBETWEEN(1,10))</f>
        <v>7</v>
      </c>
      <c r="M76" s="20" t="str">
        <f ca="1">IF(A76="","",IF(L76&lt;8,"calibracion","validacion"))</f>
        <v>calibracion</v>
      </c>
      <c r="N76" s="20" t="s">
        <v>825</v>
      </c>
    </row>
    <row r="77" spans="1:14" hidden="1" x14ac:dyDescent="0.25">
      <c r="A77" t="s">
        <v>156</v>
      </c>
      <c r="B77">
        <v>445308</v>
      </c>
      <c r="C77" t="s">
        <v>157</v>
      </c>
      <c r="D77" t="s">
        <v>2</v>
      </c>
      <c r="E77">
        <v>3.62</v>
      </c>
      <c r="F77" s="3" t="s">
        <v>3</v>
      </c>
      <c r="G77" t="s">
        <v>786</v>
      </c>
      <c r="H77" s="4">
        <v>0.48</v>
      </c>
      <c r="I77" t="s">
        <v>787</v>
      </c>
      <c r="K77" s="20">
        <f>IF(C77="","",C77-((TRUNC((C77/1000000),0))*1000000))</f>
        <v>445308</v>
      </c>
      <c r="L77" s="20">
        <f ca="1">IF(A77="","",RANDBETWEEN(1,10))</f>
        <v>9</v>
      </c>
      <c r="M77" s="20" t="str">
        <f ca="1">IF(A77="","",IF(L77&lt;8,"calibracion","validacion"))</f>
        <v>validacion</v>
      </c>
      <c r="N77" s="20" t="s">
        <v>825</v>
      </c>
    </row>
    <row r="78" spans="1:14" x14ac:dyDescent="0.25">
      <c r="A78" t="s">
        <v>160</v>
      </c>
      <c r="B78">
        <v>608301</v>
      </c>
      <c r="C78" t="s">
        <v>161</v>
      </c>
      <c r="D78" t="s">
        <v>2</v>
      </c>
      <c r="E78">
        <v>2.96</v>
      </c>
      <c r="F78" s="3" t="s">
        <v>3</v>
      </c>
      <c r="G78" t="s">
        <v>786</v>
      </c>
      <c r="H78" s="4">
        <v>1.1100000000000001</v>
      </c>
      <c r="I78" t="s">
        <v>787</v>
      </c>
      <c r="K78" s="20">
        <f>IF(C78="","",C78-((TRUNC((C78/1000000),0))*1000000))</f>
        <v>608301</v>
      </c>
      <c r="L78" s="20">
        <f ca="1">IF(A78="","",RANDBETWEEN(1,10))</f>
        <v>6</v>
      </c>
      <c r="M78" s="20" t="str">
        <f ca="1">IF(A78="","",IF(L78&lt;8,"calibracion","validacion"))</f>
        <v>calibracion</v>
      </c>
      <c r="N78" s="20" t="s">
        <v>824</v>
      </c>
    </row>
    <row r="79" spans="1:14" hidden="1" x14ac:dyDescent="0.25">
      <c r="A79" t="s">
        <v>162</v>
      </c>
      <c r="B79">
        <v>608303</v>
      </c>
      <c r="C79" t="s">
        <v>163</v>
      </c>
      <c r="D79" t="s">
        <v>2</v>
      </c>
      <c r="E79">
        <v>3.56</v>
      </c>
      <c r="F79" s="3" t="s">
        <v>3</v>
      </c>
      <c r="G79" t="s">
        <v>786</v>
      </c>
      <c r="H79" s="4">
        <v>0.62</v>
      </c>
      <c r="I79" t="s">
        <v>787</v>
      </c>
      <c r="K79" s="20">
        <f>IF(C79="","",C79-((TRUNC((C79/1000000),0))*1000000))</f>
        <v>608303</v>
      </c>
      <c r="L79" s="20">
        <f ca="1">IF(A79="","",RANDBETWEEN(1,10))</f>
        <v>4</v>
      </c>
      <c r="M79" s="20" t="str">
        <f ca="1">IF(A79="","",IF(L79&lt;8,"calibracion","validacion"))</f>
        <v>calibracion</v>
      </c>
      <c r="N79" s="20" t="s">
        <v>825</v>
      </c>
    </row>
    <row r="80" spans="1:14" hidden="1" x14ac:dyDescent="0.25">
      <c r="A80" t="s">
        <v>170</v>
      </c>
      <c r="B80">
        <v>608309</v>
      </c>
      <c r="C80" t="s">
        <v>171</v>
      </c>
      <c r="D80" t="s">
        <v>2</v>
      </c>
      <c r="E80">
        <v>3.57</v>
      </c>
      <c r="F80" s="3" t="s">
        <v>3</v>
      </c>
      <c r="G80" t="s">
        <v>786</v>
      </c>
      <c r="H80" s="4">
        <v>0.47</v>
      </c>
      <c r="I80" t="s">
        <v>787</v>
      </c>
      <c r="K80" s="20">
        <f>IF(C80="","",C80-((TRUNC((C80/1000000),0))*1000000))</f>
        <v>608309</v>
      </c>
      <c r="L80" s="20">
        <f ca="1">IF(A80="","",RANDBETWEEN(1,10))</f>
        <v>6</v>
      </c>
      <c r="M80" s="20" t="str">
        <f ca="1">IF(A80="","",IF(L80&lt;8,"calibracion","validacion"))</f>
        <v>calibracion</v>
      </c>
      <c r="N80" s="20" t="s">
        <v>825</v>
      </c>
    </row>
    <row r="81" spans="1:14" x14ac:dyDescent="0.25">
      <c r="A81" t="s">
        <v>166</v>
      </c>
      <c r="B81">
        <v>608310</v>
      </c>
      <c r="C81" t="s">
        <v>167</v>
      </c>
      <c r="D81" t="s">
        <v>2</v>
      </c>
      <c r="E81">
        <v>3.35</v>
      </c>
      <c r="F81" s="3" t="s">
        <v>3</v>
      </c>
      <c r="G81" t="s">
        <v>786</v>
      </c>
      <c r="H81" s="4">
        <v>0.64</v>
      </c>
      <c r="I81" t="s">
        <v>787</v>
      </c>
      <c r="K81" s="20">
        <f>IF(C81="","",C81-((TRUNC((C81/1000000),0))*1000000))</f>
        <v>608310</v>
      </c>
      <c r="L81" s="20">
        <f ca="1">IF(A81="","",RANDBETWEEN(1,10))</f>
        <v>8</v>
      </c>
      <c r="M81" s="20" t="str">
        <f ca="1">IF(A81="","",IF(L81&lt;8,"calibracion","validacion"))</f>
        <v>validacion</v>
      </c>
      <c r="N81" s="20" t="s">
        <v>824</v>
      </c>
    </row>
    <row r="82" spans="1:14" hidden="1" x14ac:dyDescent="0.25">
      <c r="A82" t="s">
        <v>168</v>
      </c>
      <c r="B82">
        <v>608311</v>
      </c>
      <c r="C82" t="s">
        <v>169</v>
      </c>
      <c r="D82" t="s">
        <v>2</v>
      </c>
      <c r="E82">
        <v>3.92</v>
      </c>
      <c r="F82" s="3" t="s">
        <v>3</v>
      </c>
      <c r="G82" t="s">
        <v>786</v>
      </c>
      <c r="H82" s="4">
        <v>0.71</v>
      </c>
      <c r="I82" t="s">
        <v>787</v>
      </c>
      <c r="K82" s="20">
        <f>IF(C82="","",C82-((TRUNC((C82/1000000),0))*1000000))</f>
        <v>608311</v>
      </c>
      <c r="L82" s="20">
        <f ca="1">IF(A82="","",RANDBETWEEN(1,10))</f>
        <v>9</v>
      </c>
      <c r="M82" s="20" t="str">
        <f ca="1">IF(A82="","",IF(L82&lt;8,"calibracion","validacion"))</f>
        <v>validacion</v>
      </c>
      <c r="N82" s="20" t="s">
        <v>825</v>
      </c>
    </row>
    <row r="83" spans="1:14" hidden="1" x14ac:dyDescent="0.25">
      <c r="A83" t="s">
        <v>172</v>
      </c>
      <c r="B83">
        <v>608316</v>
      </c>
      <c r="C83" t="s">
        <v>173</v>
      </c>
      <c r="D83" t="s">
        <v>2</v>
      </c>
      <c r="E83">
        <v>3.41</v>
      </c>
      <c r="F83" s="3" t="s">
        <v>3</v>
      </c>
      <c r="G83" t="s">
        <v>786</v>
      </c>
      <c r="H83" s="4">
        <v>1.06</v>
      </c>
      <c r="I83" t="s">
        <v>787</v>
      </c>
      <c r="K83" s="20">
        <f>IF(C83="","",C83-((TRUNC((C83/1000000),0))*1000000))</f>
        <v>608316</v>
      </c>
      <c r="L83" s="20">
        <f ca="1">IF(A83="","",RANDBETWEEN(1,10))</f>
        <v>5</v>
      </c>
      <c r="M83" s="20" t="str">
        <f ca="1">IF(A83="","",IF(L83&lt;8,"calibracion","validacion"))</f>
        <v>calibracion</v>
      </c>
      <c r="N83" s="20" t="s">
        <v>825</v>
      </c>
    </row>
    <row r="84" spans="1:14" hidden="1" x14ac:dyDescent="0.25">
      <c r="A84" t="s">
        <v>174</v>
      </c>
      <c r="B84">
        <v>608317</v>
      </c>
      <c r="C84" t="s">
        <v>175</v>
      </c>
      <c r="D84" t="s">
        <v>2</v>
      </c>
      <c r="E84">
        <v>2.04</v>
      </c>
      <c r="F84" s="3" t="s">
        <v>3</v>
      </c>
      <c r="G84" t="s">
        <v>786</v>
      </c>
      <c r="H84" s="4">
        <v>1.24</v>
      </c>
      <c r="I84" t="s">
        <v>787</v>
      </c>
      <c r="K84" s="20">
        <f>IF(C84="","",C84-((TRUNC((C84/1000000),0))*1000000))</f>
        <v>608317</v>
      </c>
      <c r="L84" s="20">
        <f ca="1">IF(A84="","",RANDBETWEEN(1,10))</f>
        <v>1</v>
      </c>
      <c r="M84" s="20" t="str">
        <f ca="1">IF(A84="","",IF(L84&lt;8,"calibracion","validacion"))</f>
        <v>calibracion</v>
      </c>
      <c r="N84" s="20" t="s">
        <v>825</v>
      </c>
    </row>
    <row r="85" spans="1:14" x14ac:dyDescent="0.25">
      <c r="A85" t="s">
        <v>176</v>
      </c>
      <c r="B85">
        <v>608318</v>
      </c>
      <c r="C85" t="s">
        <v>177</v>
      </c>
      <c r="D85" t="s">
        <v>2</v>
      </c>
      <c r="E85">
        <v>3.02</v>
      </c>
      <c r="F85" s="3" t="s">
        <v>3</v>
      </c>
      <c r="G85" t="s">
        <v>786</v>
      </c>
      <c r="H85" s="4">
        <v>2.16</v>
      </c>
      <c r="I85" t="s">
        <v>787</v>
      </c>
      <c r="K85" s="20">
        <f>IF(C85="","",C85-((TRUNC((C85/1000000),0))*1000000))</f>
        <v>608318</v>
      </c>
      <c r="L85" s="20">
        <f ca="1">IF(A85="","",RANDBETWEEN(1,10))</f>
        <v>6</v>
      </c>
      <c r="M85" s="20" t="str">
        <f ca="1">IF(A85="","",IF(L85&lt;8,"calibracion","validacion"))</f>
        <v>calibracion</v>
      </c>
      <c r="N85" s="20" t="s">
        <v>824</v>
      </c>
    </row>
    <row r="86" spans="1:14" hidden="1" x14ac:dyDescent="0.25">
      <c r="A86" t="s">
        <v>158</v>
      </c>
      <c r="B86">
        <v>608320</v>
      </c>
      <c r="C86" t="s">
        <v>159</v>
      </c>
      <c r="D86" t="s">
        <v>2</v>
      </c>
      <c r="E86">
        <v>3.68</v>
      </c>
      <c r="F86" s="3" t="s">
        <v>3</v>
      </c>
      <c r="G86" t="s">
        <v>786</v>
      </c>
      <c r="H86" s="4">
        <v>0.59</v>
      </c>
      <c r="I86" t="s">
        <v>787</v>
      </c>
      <c r="K86" s="20">
        <f>IF(C86="","",C86-((TRUNC((C86/1000000),0))*1000000))</f>
        <v>608320</v>
      </c>
      <c r="L86" s="20">
        <f ca="1">IF(A86="","",RANDBETWEEN(1,10))</f>
        <v>1</v>
      </c>
      <c r="M86" s="20" t="str">
        <f ca="1">IF(A86="","",IF(L86&lt;8,"calibracion","validacion"))</f>
        <v>calibracion</v>
      </c>
      <c r="N86" s="20" t="s">
        <v>825</v>
      </c>
    </row>
    <row r="87" spans="1:14" hidden="1" x14ac:dyDescent="0.25">
      <c r="A87" t="s">
        <v>180</v>
      </c>
      <c r="B87">
        <v>608325</v>
      </c>
      <c r="C87" t="s">
        <v>181</v>
      </c>
      <c r="D87" t="s">
        <v>2</v>
      </c>
      <c r="E87">
        <v>2.37</v>
      </c>
      <c r="F87" s="3" t="s">
        <v>3</v>
      </c>
      <c r="G87" t="s">
        <v>786</v>
      </c>
      <c r="H87" s="4">
        <v>0.66</v>
      </c>
      <c r="I87" t="s">
        <v>787</v>
      </c>
      <c r="K87" s="20">
        <f>IF(C87="","",C87-((TRUNC((C87/1000000),0))*1000000))</f>
        <v>608325</v>
      </c>
      <c r="L87" s="20">
        <f ca="1">IF(A87="","",RANDBETWEEN(1,10))</f>
        <v>1</v>
      </c>
      <c r="M87" s="20" t="str">
        <f ca="1">IF(A87="","",IF(L87&lt;8,"calibracion","validacion"))</f>
        <v>calibracion</v>
      </c>
      <c r="N87" s="20" t="s">
        <v>825</v>
      </c>
    </row>
    <row r="88" spans="1:14" hidden="1" x14ac:dyDescent="0.25">
      <c r="A88" t="s">
        <v>182</v>
      </c>
      <c r="B88">
        <v>608326</v>
      </c>
      <c r="C88" t="s">
        <v>183</v>
      </c>
      <c r="D88" t="s">
        <v>2</v>
      </c>
      <c r="E88">
        <v>3.38</v>
      </c>
      <c r="F88" s="3" t="s">
        <v>3</v>
      </c>
      <c r="G88" t="s">
        <v>786</v>
      </c>
      <c r="H88" s="4">
        <v>1.91</v>
      </c>
      <c r="I88" t="s">
        <v>787</v>
      </c>
      <c r="K88" s="20">
        <f>IF(C88="","",C88-((TRUNC((C88/1000000),0))*1000000))</f>
        <v>608326</v>
      </c>
      <c r="L88" s="20">
        <f ca="1">IF(A88="","",RANDBETWEEN(1,10))</f>
        <v>7</v>
      </c>
      <c r="M88" s="20" t="str">
        <f ca="1">IF(A88="","",IF(L88&lt;8,"calibracion","validacion"))</f>
        <v>calibracion</v>
      </c>
      <c r="N88" s="20" t="s">
        <v>825</v>
      </c>
    </row>
    <row r="89" spans="1:14" hidden="1" x14ac:dyDescent="0.25">
      <c r="A89" t="s">
        <v>184</v>
      </c>
      <c r="B89">
        <v>608327</v>
      </c>
      <c r="C89" t="s">
        <v>185</v>
      </c>
      <c r="D89" t="s">
        <v>2</v>
      </c>
      <c r="E89">
        <v>4.1900000000000004</v>
      </c>
      <c r="F89" s="3" t="s">
        <v>3</v>
      </c>
      <c r="G89" t="s">
        <v>786</v>
      </c>
      <c r="H89" s="4">
        <v>0.57999999999999996</v>
      </c>
      <c r="I89" t="s">
        <v>787</v>
      </c>
      <c r="K89" s="20">
        <f>IF(C89="","",C89-((TRUNC((C89/1000000),0))*1000000))</f>
        <v>608327</v>
      </c>
      <c r="L89" s="20">
        <f ca="1">IF(A89="","",RANDBETWEEN(1,10))</f>
        <v>9</v>
      </c>
      <c r="M89" s="20" t="str">
        <f ca="1">IF(A89="","",IF(L89&lt;8,"calibracion","validacion"))</f>
        <v>validacion</v>
      </c>
      <c r="N89" s="20" t="s">
        <v>825</v>
      </c>
    </row>
    <row r="90" spans="1:14" x14ac:dyDescent="0.25">
      <c r="A90" t="s">
        <v>186</v>
      </c>
      <c r="B90">
        <v>608329</v>
      </c>
      <c r="C90" t="s">
        <v>187</v>
      </c>
      <c r="D90" t="s">
        <v>2</v>
      </c>
      <c r="E90">
        <v>3.13</v>
      </c>
      <c r="F90" s="3" t="s">
        <v>3</v>
      </c>
      <c r="G90" t="s">
        <v>786</v>
      </c>
      <c r="H90" s="4">
        <v>2.5</v>
      </c>
      <c r="I90" t="s">
        <v>787</v>
      </c>
      <c r="K90" s="20">
        <f>IF(C90="","",C90-((TRUNC((C90/1000000),0))*1000000))</f>
        <v>608329</v>
      </c>
      <c r="L90" s="20">
        <f ca="1">IF(A90="","",RANDBETWEEN(1,10))</f>
        <v>8</v>
      </c>
      <c r="M90" s="20" t="str">
        <f ca="1">IF(A90="","",IF(L90&lt;8,"calibracion","validacion"))</f>
        <v>validacion</v>
      </c>
      <c r="N90" s="20" t="s">
        <v>824</v>
      </c>
    </row>
    <row r="91" spans="1:14" hidden="1" x14ac:dyDescent="0.25">
      <c r="A91" t="s">
        <v>178</v>
      </c>
      <c r="B91">
        <v>608333</v>
      </c>
      <c r="C91" t="s">
        <v>179</v>
      </c>
      <c r="D91" t="s">
        <v>2</v>
      </c>
      <c r="E91">
        <v>2.4900000000000002</v>
      </c>
      <c r="F91" s="3" t="s">
        <v>3</v>
      </c>
      <c r="G91" t="s">
        <v>786</v>
      </c>
      <c r="H91" s="4">
        <v>1.67</v>
      </c>
      <c r="I91" t="s">
        <v>787</v>
      </c>
      <c r="K91" s="20">
        <f>IF(C91="","",C91-((TRUNC((C91/1000000),0))*1000000))</f>
        <v>608333</v>
      </c>
      <c r="L91" s="20">
        <f ca="1">IF(A91="","",RANDBETWEEN(1,10))</f>
        <v>8</v>
      </c>
      <c r="M91" s="20" t="str">
        <f ca="1">IF(A91="","",IF(L91&lt;8,"calibracion","validacion"))</f>
        <v>validacion</v>
      </c>
      <c r="N91" s="20" t="s">
        <v>825</v>
      </c>
    </row>
    <row r="92" spans="1:14" hidden="1" x14ac:dyDescent="0.25">
      <c r="A92" t="s">
        <v>190</v>
      </c>
      <c r="B92">
        <v>608335</v>
      </c>
      <c r="C92" t="s">
        <v>191</v>
      </c>
      <c r="D92" t="s">
        <v>2</v>
      </c>
      <c r="E92">
        <v>4.68</v>
      </c>
      <c r="F92" s="3" t="s">
        <v>3</v>
      </c>
      <c r="G92" t="s">
        <v>786</v>
      </c>
      <c r="H92" s="4">
        <v>0.73</v>
      </c>
      <c r="I92" t="s">
        <v>787</v>
      </c>
      <c r="K92" s="20">
        <f>IF(C92="","",C92-((TRUNC((C92/1000000),0))*1000000))</f>
        <v>608335</v>
      </c>
      <c r="L92" s="20">
        <f ca="1">IF(A92="","",RANDBETWEEN(1,10))</f>
        <v>3</v>
      </c>
      <c r="M92" s="20" t="str">
        <f ca="1">IF(A92="","",IF(L92&lt;8,"calibracion","validacion"))</f>
        <v>calibracion</v>
      </c>
      <c r="N92" s="20" t="s">
        <v>825</v>
      </c>
    </row>
    <row r="93" spans="1:14" hidden="1" x14ac:dyDescent="0.25">
      <c r="A93" t="s">
        <v>192</v>
      </c>
      <c r="B93">
        <v>608336</v>
      </c>
      <c r="C93" t="s">
        <v>193</v>
      </c>
      <c r="D93" t="s">
        <v>2</v>
      </c>
      <c r="E93">
        <v>4.42</v>
      </c>
      <c r="F93" s="3" t="s">
        <v>3</v>
      </c>
      <c r="G93" t="s">
        <v>786</v>
      </c>
      <c r="H93" s="4">
        <v>0.67</v>
      </c>
      <c r="I93" t="s">
        <v>787</v>
      </c>
      <c r="K93" s="20">
        <f>IF(C93="","",C93-((TRUNC((C93/1000000),0))*1000000))</f>
        <v>608336</v>
      </c>
      <c r="L93" s="20">
        <f ca="1">IF(A93="","",RANDBETWEEN(1,10))</f>
        <v>3</v>
      </c>
      <c r="M93" s="20" t="str">
        <f ca="1">IF(A93="","",IF(L93&lt;8,"calibracion","validacion"))</f>
        <v>calibracion</v>
      </c>
      <c r="N93" s="20" t="s">
        <v>825</v>
      </c>
    </row>
    <row r="94" spans="1:14" x14ac:dyDescent="0.25">
      <c r="A94" t="s">
        <v>194</v>
      </c>
      <c r="B94">
        <v>608337</v>
      </c>
      <c r="C94" t="s">
        <v>195</v>
      </c>
      <c r="D94" t="s">
        <v>2</v>
      </c>
      <c r="E94">
        <v>3.58</v>
      </c>
      <c r="F94" s="3" t="s">
        <v>3</v>
      </c>
      <c r="G94" t="s">
        <v>786</v>
      </c>
      <c r="H94" s="4">
        <v>0.46</v>
      </c>
      <c r="I94" t="s">
        <v>787</v>
      </c>
      <c r="K94" s="20">
        <f>IF(C94="","",C94-((TRUNC((C94/1000000),0))*1000000))</f>
        <v>608337</v>
      </c>
      <c r="L94" s="20">
        <f ca="1">IF(A94="","",RANDBETWEEN(1,10))</f>
        <v>6</v>
      </c>
      <c r="M94" s="20" t="str">
        <f ca="1">IF(A94="","",IF(L94&lt;8,"calibracion","validacion"))</f>
        <v>calibracion</v>
      </c>
      <c r="N94" s="20" t="s">
        <v>824</v>
      </c>
    </row>
    <row r="95" spans="1:14" hidden="1" x14ac:dyDescent="0.25">
      <c r="A95" t="s">
        <v>196</v>
      </c>
      <c r="B95">
        <v>645336</v>
      </c>
      <c r="C95" t="s">
        <v>197</v>
      </c>
      <c r="D95" t="s">
        <v>2</v>
      </c>
      <c r="E95">
        <v>7.2</v>
      </c>
      <c r="F95" s="3" t="s">
        <v>3</v>
      </c>
      <c r="G95" t="s">
        <v>786</v>
      </c>
      <c r="H95" s="4">
        <v>0.23</v>
      </c>
      <c r="I95" t="s">
        <v>787</v>
      </c>
      <c r="K95" s="20">
        <f>IF(C95="","",C95-((TRUNC((C95/1000000),0))*1000000))</f>
        <v>645336</v>
      </c>
      <c r="L95" s="20">
        <f ca="1">IF(A95="","",RANDBETWEEN(1,10))</f>
        <v>7</v>
      </c>
      <c r="M95" s="20" t="str">
        <f ca="1">IF(A95="","",IF(L95&lt;8,"calibracion","validacion"))</f>
        <v>calibracion</v>
      </c>
      <c r="N95" s="20" t="s">
        <v>825</v>
      </c>
    </row>
    <row r="96" spans="1:14" hidden="1" x14ac:dyDescent="0.25">
      <c r="A96" t="s">
        <v>198</v>
      </c>
      <c r="B96">
        <v>655321</v>
      </c>
      <c r="C96" t="s">
        <v>199</v>
      </c>
      <c r="D96" t="s">
        <v>2</v>
      </c>
      <c r="E96">
        <v>2.08</v>
      </c>
      <c r="F96" s="3" t="s">
        <v>3</v>
      </c>
      <c r="G96" t="s">
        <v>786</v>
      </c>
      <c r="H96" s="4">
        <v>2.15</v>
      </c>
      <c r="I96" t="s">
        <v>787</v>
      </c>
      <c r="K96" s="20">
        <f>IF(C96="","",C96-((TRUNC((C96/1000000),0))*1000000))</f>
        <v>655321</v>
      </c>
      <c r="L96" s="20">
        <f ca="1">IF(A96="","",RANDBETWEEN(1,10))</f>
        <v>10</v>
      </c>
      <c r="M96" s="20" t="str">
        <f ca="1">IF(A96="","",IF(L96&lt;8,"calibracion","validacion"))</f>
        <v>validacion</v>
      </c>
      <c r="N96" s="20" t="s">
        <v>825</v>
      </c>
    </row>
    <row r="97" spans="1:14" hidden="1" x14ac:dyDescent="0.25">
      <c r="A97" t="s">
        <v>200</v>
      </c>
      <c r="B97">
        <v>655328</v>
      </c>
      <c r="C97" t="s">
        <v>201</v>
      </c>
      <c r="D97" t="s">
        <v>2</v>
      </c>
      <c r="E97">
        <v>3.19</v>
      </c>
      <c r="F97" s="3" t="s">
        <v>3</v>
      </c>
      <c r="G97" t="s">
        <v>786</v>
      </c>
      <c r="H97" s="4">
        <v>0.77</v>
      </c>
      <c r="I97" t="s">
        <v>787</v>
      </c>
      <c r="K97" s="20">
        <f>IF(C97="","",C97-((TRUNC((C97/1000000),0))*1000000))</f>
        <v>655328</v>
      </c>
      <c r="L97" s="20">
        <f ca="1">IF(A97="","",RANDBETWEEN(1,10))</f>
        <v>1</v>
      </c>
      <c r="M97" s="20" t="str">
        <f ca="1">IF(A97="","",IF(L97&lt;8,"calibracion","validacion"))</f>
        <v>calibracion</v>
      </c>
      <c r="N97" s="20" t="s">
        <v>825</v>
      </c>
    </row>
    <row r="98" spans="1:14" hidden="1" x14ac:dyDescent="0.25">
      <c r="A98" t="s">
        <v>202</v>
      </c>
      <c r="B98">
        <v>655330</v>
      </c>
      <c r="C98" t="s">
        <v>203</v>
      </c>
      <c r="D98" t="s">
        <v>2</v>
      </c>
      <c r="E98">
        <v>2.4900000000000002</v>
      </c>
      <c r="F98" s="3" t="s">
        <v>3</v>
      </c>
      <c r="G98" t="s">
        <v>786</v>
      </c>
      <c r="H98" s="4">
        <v>1.03</v>
      </c>
      <c r="I98" t="s">
        <v>787</v>
      </c>
      <c r="K98" s="20">
        <f>IF(C98="","",C98-((TRUNC((C98/1000000),0))*1000000))</f>
        <v>655330</v>
      </c>
      <c r="L98" s="20">
        <f ca="1">IF(A98="","",RANDBETWEEN(1,10))</f>
        <v>8</v>
      </c>
      <c r="M98" s="20" t="str">
        <f ca="1">IF(A98="","",IF(L98&lt;8,"calibracion","validacion"))</f>
        <v>validacion</v>
      </c>
      <c r="N98" s="20" t="s">
        <v>825</v>
      </c>
    </row>
    <row r="99" spans="1:14" hidden="1" x14ac:dyDescent="0.25">
      <c r="A99" t="s">
        <v>204</v>
      </c>
      <c r="B99">
        <v>655332</v>
      </c>
      <c r="C99" t="s">
        <v>205</v>
      </c>
      <c r="D99" t="s">
        <v>2</v>
      </c>
      <c r="E99">
        <v>2.21</v>
      </c>
      <c r="F99" s="3" t="s">
        <v>3</v>
      </c>
      <c r="G99" t="s">
        <v>786</v>
      </c>
      <c r="H99" s="4">
        <v>1.3</v>
      </c>
      <c r="I99" t="s">
        <v>787</v>
      </c>
      <c r="K99" s="20">
        <f>IF(C99="","",C99-((TRUNC((C99/1000000),0))*1000000))</f>
        <v>655332</v>
      </c>
      <c r="L99" s="20">
        <f ca="1">IF(A99="","",RANDBETWEEN(1,10))</f>
        <v>10</v>
      </c>
      <c r="M99" s="20" t="str">
        <f ca="1">IF(A99="","",IF(L99&lt;8,"calibracion","validacion"))</f>
        <v>validacion</v>
      </c>
      <c r="N99" s="20" t="s">
        <v>825</v>
      </c>
    </row>
    <row r="100" spans="1:14" hidden="1" x14ac:dyDescent="0.25">
      <c r="A100" t="s">
        <v>206</v>
      </c>
      <c r="B100">
        <v>655333</v>
      </c>
      <c r="C100" t="s">
        <v>207</v>
      </c>
      <c r="D100" t="s">
        <v>2</v>
      </c>
      <c r="E100">
        <v>3.35</v>
      </c>
      <c r="F100" s="3" t="s">
        <v>3</v>
      </c>
      <c r="G100" t="s">
        <v>786</v>
      </c>
      <c r="H100" s="4">
        <v>1.1100000000000001</v>
      </c>
      <c r="I100" t="s">
        <v>787</v>
      </c>
      <c r="K100" s="20">
        <f>IF(C100="","",C100-((TRUNC((C100/1000000),0))*1000000))</f>
        <v>655333</v>
      </c>
      <c r="L100" s="20">
        <f ca="1">IF(A100="","",RANDBETWEEN(1,10))</f>
        <v>2</v>
      </c>
      <c r="M100" s="20" t="str">
        <f ca="1">IF(A100="","",IF(L100&lt;8,"calibracion","validacion"))</f>
        <v>calibracion</v>
      </c>
      <c r="N100" s="20" t="s">
        <v>825</v>
      </c>
    </row>
    <row r="101" spans="1:14" x14ac:dyDescent="0.25">
      <c r="A101" t="s">
        <v>208</v>
      </c>
      <c r="B101">
        <v>655334</v>
      </c>
      <c r="C101" t="s">
        <v>209</v>
      </c>
      <c r="D101" t="s">
        <v>2</v>
      </c>
      <c r="E101">
        <v>3.94</v>
      </c>
      <c r="F101" s="3" t="s">
        <v>3</v>
      </c>
      <c r="G101" t="s">
        <v>786</v>
      </c>
      <c r="H101" s="4">
        <v>0.57999999999999996</v>
      </c>
      <c r="I101" t="s">
        <v>787</v>
      </c>
      <c r="K101" s="20">
        <f>IF(C101="","",C101-((TRUNC((C101/1000000),0))*1000000))</f>
        <v>655334</v>
      </c>
      <c r="L101" s="20">
        <f ca="1">IF(A101="","",RANDBETWEEN(1,10))</f>
        <v>7</v>
      </c>
      <c r="M101" s="20" t="str">
        <f ca="1">IF(A101="","",IF(L101&lt;8,"calibracion","validacion"))</f>
        <v>calibracion</v>
      </c>
      <c r="N101" s="20" t="s">
        <v>824</v>
      </c>
    </row>
    <row r="102" spans="1:14" x14ac:dyDescent="0.25">
      <c r="A102" t="s">
        <v>212</v>
      </c>
      <c r="B102">
        <v>655336</v>
      </c>
      <c r="C102" t="s">
        <v>213</v>
      </c>
      <c r="D102" t="s">
        <v>2</v>
      </c>
      <c r="E102">
        <v>3.34</v>
      </c>
      <c r="F102" s="3" t="s">
        <v>3</v>
      </c>
      <c r="G102" t="s">
        <v>786</v>
      </c>
      <c r="H102" s="4">
        <v>1.56</v>
      </c>
      <c r="I102" t="s">
        <v>787</v>
      </c>
      <c r="K102" s="20">
        <f>IF(C102="","",C102-((TRUNC((C102/1000000),0))*1000000))</f>
        <v>655336</v>
      </c>
      <c r="L102" s="20">
        <f ca="1">IF(A102="","",RANDBETWEEN(1,10))</f>
        <v>9</v>
      </c>
      <c r="M102" s="20" t="str">
        <f ca="1">IF(A102="","",IF(L102&lt;8,"calibracion","validacion"))</f>
        <v>validacion</v>
      </c>
      <c r="N102" s="20" t="s">
        <v>824</v>
      </c>
    </row>
    <row r="103" spans="1:14" x14ac:dyDescent="0.25">
      <c r="A103" t="s">
        <v>214</v>
      </c>
      <c r="B103">
        <v>655337</v>
      </c>
      <c r="C103" t="s">
        <v>215</v>
      </c>
      <c r="D103" t="s">
        <v>2</v>
      </c>
      <c r="E103">
        <v>3.51</v>
      </c>
      <c r="F103" s="3" t="s">
        <v>3</v>
      </c>
      <c r="G103" t="s">
        <v>786</v>
      </c>
      <c r="H103" s="4">
        <v>0.55000000000000004</v>
      </c>
      <c r="I103" t="s">
        <v>787</v>
      </c>
      <c r="K103" s="20">
        <f>IF(C103="","",C103-((TRUNC((C103/1000000),0))*1000000))</f>
        <v>655337</v>
      </c>
      <c r="L103" s="20">
        <f ca="1">IF(A103="","",RANDBETWEEN(1,10))</f>
        <v>7</v>
      </c>
      <c r="M103" s="20" t="str">
        <f ca="1">IF(A103="","",IF(L103&lt;8,"calibracion","validacion"))</f>
        <v>calibracion</v>
      </c>
      <c r="N103" s="20" t="s">
        <v>824</v>
      </c>
    </row>
    <row r="104" spans="1:14" hidden="1" x14ac:dyDescent="0.25">
      <c r="A104" t="s">
        <v>216</v>
      </c>
      <c r="B104">
        <v>655339</v>
      </c>
      <c r="C104" t="s">
        <v>217</v>
      </c>
      <c r="D104" t="s">
        <v>2</v>
      </c>
      <c r="E104">
        <v>3.34</v>
      </c>
      <c r="F104" s="3" t="s">
        <v>3</v>
      </c>
      <c r="G104" t="s">
        <v>786</v>
      </c>
      <c r="H104" s="4">
        <v>2.13</v>
      </c>
      <c r="I104" t="s">
        <v>787</v>
      </c>
      <c r="K104" s="20">
        <f>IF(C104="","",C104-((TRUNC((C104/1000000),0))*1000000))</f>
        <v>655339</v>
      </c>
      <c r="L104" s="20">
        <f ca="1">IF(A104="","",RANDBETWEEN(1,10))</f>
        <v>1</v>
      </c>
      <c r="M104" s="20" t="str">
        <f ca="1">IF(A104="","",IF(L104&lt;8,"calibracion","validacion"))</f>
        <v>calibracion</v>
      </c>
      <c r="N104" s="20" t="s">
        <v>825</v>
      </c>
    </row>
    <row r="105" spans="1:14" hidden="1" x14ac:dyDescent="0.25">
      <c r="A105" t="s">
        <v>210</v>
      </c>
      <c r="B105">
        <v>655340</v>
      </c>
      <c r="C105" t="s">
        <v>211</v>
      </c>
      <c r="D105" t="s">
        <v>2</v>
      </c>
      <c r="E105">
        <v>5.0999999999999996</v>
      </c>
      <c r="F105" s="3" t="s">
        <v>3</v>
      </c>
      <c r="G105" t="s">
        <v>786</v>
      </c>
      <c r="H105" s="4">
        <v>0.62</v>
      </c>
      <c r="I105" t="s">
        <v>787</v>
      </c>
      <c r="K105" s="20">
        <f>IF(C105="","",C105-((TRUNC((C105/1000000),0))*1000000))</f>
        <v>655340</v>
      </c>
      <c r="L105" s="20">
        <f ca="1">IF(A105="","",RANDBETWEEN(1,10))</f>
        <v>4</v>
      </c>
      <c r="M105" s="20" t="str">
        <f ca="1">IF(A105="","",IF(L105&lt;8,"calibracion","validacion"))</f>
        <v>calibracion</v>
      </c>
      <c r="N105" s="20" t="s">
        <v>825</v>
      </c>
    </row>
    <row r="106" spans="1:14" hidden="1" x14ac:dyDescent="0.25">
      <c r="A106" t="s">
        <v>218</v>
      </c>
      <c r="B106">
        <v>656301</v>
      </c>
      <c r="C106" t="s">
        <v>219</v>
      </c>
      <c r="D106" t="s">
        <v>2</v>
      </c>
      <c r="E106">
        <v>2.46</v>
      </c>
      <c r="F106" s="3" t="s">
        <v>3</v>
      </c>
      <c r="G106" t="s">
        <v>786</v>
      </c>
      <c r="H106" s="4">
        <v>2.0499999999999998</v>
      </c>
      <c r="I106" t="s">
        <v>787</v>
      </c>
      <c r="K106" s="20">
        <f>IF(C106="","",C106-((TRUNC((C106/1000000),0))*1000000))</f>
        <v>656301</v>
      </c>
      <c r="L106" s="20">
        <f ca="1">IF(A106="","",RANDBETWEEN(1,10))</f>
        <v>5</v>
      </c>
      <c r="M106" s="20" t="str">
        <f ca="1">IF(A106="","",IF(L106&lt;8,"calibracion","validacion"))</f>
        <v>calibracion</v>
      </c>
      <c r="N106" s="20" t="s">
        <v>825</v>
      </c>
    </row>
    <row r="107" spans="1:14" x14ac:dyDescent="0.25">
      <c r="A107" t="s">
        <v>220</v>
      </c>
      <c r="B107">
        <v>656303</v>
      </c>
      <c r="C107" t="s">
        <v>221</v>
      </c>
      <c r="D107" t="s">
        <v>2</v>
      </c>
      <c r="E107">
        <v>3.01</v>
      </c>
      <c r="F107" s="3" t="s">
        <v>3</v>
      </c>
      <c r="G107" t="s">
        <v>786</v>
      </c>
      <c r="H107" s="4">
        <v>2.34</v>
      </c>
      <c r="I107" t="s">
        <v>787</v>
      </c>
      <c r="K107" s="20">
        <f>IF(C107="","",C107-((TRUNC((C107/1000000),0))*1000000))</f>
        <v>656303</v>
      </c>
      <c r="L107" s="20">
        <f ca="1">IF(A107="","",RANDBETWEEN(1,10))</f>
        <v>2</v>
      </c>
      <c r="M107" s="20" t="str">
        <f ca="1">IF(A107="","",IF(L107&lt;8,"calibracion","validacion"))</f>
        <v>calibracion</v>
      </c>
      <c r="N107" s="20" t="s">
        <v>824</v>
      </c>
    </row>
    <row r="108" spans="1:14" hidden="1" x14ac:dyDescent="0.25">
      <c r="A108" t="s">
        <v>222</v>
      </c>
      <c r="B108">
        <v>656304</v>
      </c>
      <c r="C108" t="s">
        <v>223</v>
      </c>
      <c r="D108" t="s">
        <v>2</v>
      </c>
      <c r="E108">
        <v>3.41</v>
      </c>
      <c r="F108" s="3" t="s">
        <v>3</v>
      </c>
      <c r="G108" t="s">
        <v>786</v>
      </c>
      <c r="H108" s="4">
        <v>2.12</v>
      </c>
      <c r="I108" t="s">
        <v>787</v>
      </c>
      <c r="K108" s="20">
        <f>IF(C108="","",C108-((TRUNC((C108/1000000),0))*1000000))</f>
        <v>656304</v>
      </c>
      <c r="L108" s="20">
        <f ca="1">IF(A108="","",RANDBETWEEN(1,10))</f>
        <v>7</v>
      </c>
      <c r="M108" s="20" t="str">
        <f ca="1">IF(A108="","",IF(L108&lt;8,"calibracion","validacion"))</f>
        <v>calibracion</v>
      </c>
      <c r="N108" s="20" t="s">
        <v>825</v>
      </c>
    </row>
    <row r="109" spans="1:14" hidden="1" x14ac:dyDescent="0.25">
      <c r="A109" t="s">
        <v>224</v>
      </c>
      <c r="B109">
        <v>656305</v>
      </c>
      <c r="C109" t="s">
        <v>225</v>
      </c>
      <c r="D109" t="s">
        <v>2</v>
      </c>
      <c r="E109">
        <v>7.2</v>
      </c>
      <c r="F109" s="3" t="s">
        <v>3</v>
      </c>
      <c r="G109" t="s">
        <v>786</v>
      </c>
      <c r="H109" s="4">
        <v>0.56000000000000005</v>
      </c>
      <c r="I109" t="s">
        <v>787</v>
      </c>
      <c r="K109" s="20">
        <f>IF(C109="","",C109-((TRUNC((C109/1000000),0))*1000000))</f>
        <v>656305</v>
      </c>
      <c r="L109" s="20">
        <f ca="1">IF(A109="","",RANDBETWEEN(1,10))</f>
        <v>8</v>
      </c>
      <c r="M109" s="20" t="str">
        <f ca="1">IF(A109="","",IF(L109&lt;8,"calibracion","validacion"))</f>
        <v>validacion</v>
      </c>
      <c r="N109" s="20" t="s">
        <v>825</v>
      </c>
    </row>
    <row r="110" spans="1:14" hidden="1" x14ac:dyDescent="0.25">
      <c r="A110" t="s">
        <v>226</v>
      </c>
      <c r="B110">
        <v>656307</v>
      </c>
      <c r="C110" t="s">
        <v>227</v>
      </c>
      <c r="D110" t="s">
        <v>2</v>
      </c>
      <c r="E110">
        <v>3.8</v>
      </c>
      <c r="F110" s="3" t="s">
        <v>3</v>
      </c>
      <c r="G110" t="s">
        <v>786</v>
      </c>
      <c r="H110" s="4">
        <v>0.44</v>
      </c>
      <c r="I110" t="s">
        <v>787</v>
      </c>
      <c r="K110" s="20">
        <f>IF(C110="","",C110-((TRUNC((C110/1000000),0))*1000000))</f>
        <v>656307</v>
      </c>
      <c r="L110" s="20">
        <f ca="1">IF(A110="","",RANDBETWEEN(1,10))</f>
        <v>4</v>
      </c>
      <c r="M110" s="20" t="str">
        <f ca="1">IF(A110="","",IF(L110&lt;8,"calibracion","validacion"))</f>
        <v>calibracion</v>
      </c>
      <c r="N110" s="20" t="s">
        <v>825</v>
      </c>
    </row>
    <row r="111" spans="1:14" x14ac:dyDescent="0.25">
      <c r="A111" t="s">
        <v>228</v>
      </c>
      <c r="B111">
        <v>656308</v>
      </c>
      <c r="C111" t="s">
        <v>229</v>
      </c>
      <c r="D111" t="s">
        <v>2</v>
      </c>
      <c r="E111">
        <v>3.53</v>
      </c>
      <c r="F111" s="3" t="s">
        <v>3</v>
      </c>
      <c r="G111" t="s">
        <v>786</v>
      </c>
      <c r="H111" s="4">
        <v>0.65</v>
      </c>
      <c r="I111" t="s">
        <v>787</v>
      </c>
      <c r="K111" s="20">
        <f>IF(C111="","",C111-((TRUNC((C111/1000000),0))*1000000))</f>
        <v>656308</v>
      </c>
      <c r="L111" s="20">
        <f ca="1">IF(A111="","",RANDBETWEEN(1,10))</f>
        <v>3</v>
      </c>
      <c r="M111" s="20" t="str">
        <f ca="1">IF(A111="","",IF(L111&lt;8,"calibracion","validacion"))</f>
        <v>calibracion</v>
      </c>
      <c r="N111" s="20" t="s">
        <v>824</v>
      </c>
    </row>
    <row r="112" spans="1:14" hidden="1" x14ac:dyDescent="0.25">
      <c r="A112" t="s">
        <v>230</v>
      </c>
      <c r="B112">
        <v>656309</v>
      </c>
      <c r="C112" t="s">
        <v>231</v>
      </c>
      <c r="D112" t="s">
        <v>2</v>
      </c>
      <c r="E112">
        <v>3.91</v>
      </c>
      <c r="F112" s="3" t="s">
        <v>3</v>
      </c>
      <c r="G112" t="s">
        <v>786</v>
      </c>
      <c r="H112" s="4">
        <v>0.39</v>
      </c>
      <c r="I112" t="s">
        <v>787</v>
      </c>
      <c r="K112" s="20">
        <f>IF(C112="","",C112-((TRUNC((C112/1000000),0))*1000000))</f>
        <v>656309</v>
      </c>
      <c r="L112" s="20">
        <f ca="1">IF(A112="","",RANDBETWEEN(1,10))</f>
        <v>9</v>
      </c>
      <c r="M112" s="20" t="str">
        <f ca="1">IF(A112="","",IF(L112&lt;8,"calibracion","validacion"))</f>
        <v>validacion</v>
      </c>
      <c r="N112" s="20" t="s">
        <v>825</v>
      </c>
    </row>
    <row r="113" spans="1:14" hidden="1" x14ac:dyDescent="0.25">
      <c r="A113" t="s">
        <v>232</v>
      </c>
      <c r="B113">
        <v>656310</v>
      </c>
      <c r="C113" t="s">
        <v>233</v>
      </c>
      <c r="D113" t="s">
        <v>2</v>
      </c>
      <c r="E113">
        <v>4.3499999999999996</v>
      </c>
      <c r="F113" s="3" t="s">
        <v>3</v>
      </c>
      <c r="G113" t="s">
        <v>786</v>
      </c>
      <c r="H113" s="4">
        <v>1.72</v>
      </c>
      <c r="I113" t="s">
        <v>787</v>
      </c>
      <c r="K113" s="20">
        <f>IF(C113="","",C113-((TRUNC((C113/1000000),0))*1000000))</f>
        <v>656310</v>
      </c>
      <c r="L113" s="20">
        <f ca="1">IF(A113="","",RANDBETWEEN(1,10))</f>
        <v>9</v>
      </c>
      <c r="M113" s="20" t="str">
        <f ca="1">IF(A113="","",IF(L113&lt;8,"calibracion","validacion"))</f>
        <v>validacion</v>
      </c>
      <c r="N113" s="20" t="s">
        <v>825</v>
      </c>
    </row>
    <row r="114" spans="1:14" hidden="1" x14ac:dyDescent="0.25">
      <c r="A114" t="s">
        <v>236</v>
      </c>
      <c r="B114">
        <v>656312</v>
      </c>
      <c r="C114" t="s">
        <v>237</v>
      </c>
      <c r="D114" t="s">
        <v>2</v>
      </c>
      <c r="E114">
        <v>3.68</v>
      </c>
      <c r="F114" s="3" t="s">
        <v>3</v>
      </c>
      <c r="G114" t="s">
        <v>786</v>
      </c>
      <c r="H114" s="4">
        <v>0.84</v>
      </c>
      <c r="I114" t="s">
        <v>787</v>
      </c>
      <c r="K114" s="20">
        <f>IF(C114="","",C114-((TRUNC((C114/1000000),0))*1000000))</f>
        <v>656312</v>
      </c>
      <c r="L114" s="20">
        <f ca="1">IF(A114="","",RANDBETWEEN(1,10))</f>
        <v>4</v>
      </c>
      <c r="M114" s="20" t="str">
        <f ca="1">IF(A114="","",IF(L114&lt;8,"calibracion","validacion"))</f>
        <v>calibracion</v>
      </c>
      <c r="N114" s="20" t="s">
        <v>825</v>
      </c>
    </row>
    <row r="115" spans="1:14" hidden="1" x14ac:dyDescent="0.25">
      <c r="A115" t="s">
        <v>238</v>
      </c>
      <c r="B115">
        <v>656313</v>
      </c>
      <c r="C115" t="s">
        <v>239</v>
      </c>
      <c r="D115" t="s">
        <v>2</v>
      </c>
      <c r="E115">
        <v>3.9</v>
      </c>
      <c r="F115" s="3" t="s">
        <v>3</v>
      </c>
      <c r="G115" t="s">
        <v>786</v>
      </c>
      <c r="H115" s="4">
        <v>0.67</v>
      </c>
      <c r="I115" t="s">
        <v>787</v>
      </c>
      <c r="K115" s="20">
        <f>IF(C115="","",C115-((TRUNC((C115/1000000),0))*1000000))</f>
        <v>656313</v>
      </c>
      <c r="L115" s="20">
        <f ca="1">IF(A115="","",RANDBETWEEN(1,10))</f>
        <v>10</v>
      </c>
      <c r="M115" s="20" t="str">
        <f ca="1">IF(A115="","",IF(L115&lt;8,"calibracion","validacion"))</f>
        <v>validacion</v>
      </c>
      <c r="N115" s="20" t="s">
        <v>825</v>
      </c>
    </row>
    <row r="116" spans="1:14" x14ac:dyDescent="0.25">
      <c r="A116" t="s">
        <v>240</v>
      </c>
      <c r="B116">
        <v>656315</v>
      </c>
      <c r="C116" t="s">
        <v>241</v>
      </c>
      <c r="D116" t="s">
        <v>2</v>
      </c>
      <c r="E116">
        <v>3.65</v>
      </c>
      <c r="F116" s="3" t="s">
        <v>3</v>
      </c>
      <c r="G116" t="s">
        <v>786</v>
      </c>
      <c r="H116" s="4">
        <v>0.85</v>
      </c>
      <c r="I116" t="s">
        <v>787</v>
      </c>
      <c r="K116" s="20">
        <f>IF(C116="","",C116-((TRUNC((C116/1000000),0))*1000000))</f>
        <v>656315</v>
      </c>
      <c r="L116" s="20">
        <f ca="1">IF(A116="","",RANDBETWEEN(1,10))</f>
        <v>6</v>
      </c>
      <c r="M116" s="20" t="str">
        <f ca="1">IF(A116="","",IF(L116&lt;8,"calibracion","validacion"))</f>
        <v>calibracion</v>
      </c>
      <c r="N116" s="20" t="s">
        <v>824</v>
      </c>
    </row>
    <row r="117" spans="1:14" hidden="1" x14ac:dyDescent="0.25">
      <c r="A117" t="s">
        <v>234</v>
      </c>
      <c r="B117">
        <v>656316</v>
      </c>
      <c r="C117" t="s">
        <v>235</v>
      </c>
      <c r="D117" t="s">
        <v>2</v>
      </c>
      <c r="E117">
        <v>3.66</v>
      </c>
      <c r="F117" s="3" t="s">
        <v>3</v>
      </c>
      <c r="G117" t="s">
        <v>786</v>
      </c>
      <c r="H117" s="4">
        <v>0.5</v>
      </c>
      <c r="I117" t="s">
        <v>787</v>
      </c>
      <c r="K117" s="20">
        <f>IF(C117="","",C117-((TRUNC((C117/1000000),0))*1000000))</f>
        <v>656316</v>
      </c>
      <c r="L117" s="20">
        <f ca="1">IF(A117="","",RANDBETWEEN(1,10))</f>
        <v>4</v>
      </c>
      <c r="M117" s="20" t="str">
        <f ca="1">IF(A117="","",IF(L117&lt;8,"calibracion","validacion"))</f>
        <v>calibracion</v>
      </c>
      <c r="N117" s="20" t="s">
        <v>825</v>
      </c>
    </row>
    <row r="118" spans="1:14" x14ac:dyDescent="0.25">
      <c r="A118" t="s">
        <v>242</v>
      </c>
      <c r="B118">
        <v>656319</v>
      </c>
      <c r="C118" t="s">
        <v>243</v>
      </c>
      <c r="D118" t="s">
        <v>2</v>
      </c>
      <c r="E118">
        <v>3.88</v>
      </c>
      <c r="F118" s="3" t="s">
        <v>3</v>
      </c>
      <c r="G118" t="s">
        <v>786</v>
      </c>
      <c r="H118" s="4">
        <v>0.5</v>
      </c>
      <c r="I118" t="s">
        <v>787</v>
      </c>
      <c r="K118" s="20">
        <f>IF(C118="","",C118-((TRUNC((C118/1000000),0))*1000000))</f>
        <v>656319</v>
      </c>
      <c r="L118" s="20">
        <f ca="1">IF(A118="","",RANDBETWEEN(1,10))</f>
        <v>1</v>
      </c>
      <c r="M118" s="20" t="str">
        <f ca="1">IF(A118="","",IF(L118&lt;8,"calibracion","validacion"))</f>
        <v>calibracion</v>
      </c>
      <c r="N118" s="20" t="s">
        <v>824</v>
      </c>
    </row>
    <row r="119" spans="1:14" hidden="1" x14ac:dyDescent="0.25">
      <c r="A119" t="s">
        <v>244</v>
      </c>
      <c r="B119">
        <v>740326</v>
      </c>
      <c r="C119" t="s">
        <v>245</v>
      </c>
      <c r="D119" t="s">
        <v>2</v>
      </c>
      <c r="E119">
        <v>1.71</v>
      </c>
      <c r="F119" s="3" t="s">
        <v>3</v>
      </c>
      <c r="G119" t="s">
        <v>786</v>
      </c>
      <c r="H119" s="4">
        <v>0.24</v>
      </c>
      <c r="I119" t="s">
        <v>787</v>
      </c>
      <c r="K119" s="20">
        <f>IF(C119="","",C119-((TRUNC((C119/1000000),0))*1000000))</f>
        <v>740326</v>
      </c>
      <c r="L119" s="20">
        <f ca="1">IF(A119="","",RANDBETWEEN(1,10))</f>
        <v>10</v>
      </c>
      <c r="M119" s="20" t="str">
        <f ca="1">IF(A119="","",IF(L119&lt;8,"calibracion","validacion"))</f>
        <v>validacion</v>
      </c>
      <c r="N119" s="20" t="s">
        <v>825</v>
      </c>
    </row>
    <row r="120" spans="1:14" hidden="1" x14ac:dyDescent="0.25">
      <c r="A120" t="s">
        <v>246</v>
      </c>
      <c r="B120">
        <v>771330</v>
      </c>
      <c r="C120" t="s">
        <v>247</v>
      </c>
      <c r="D120" t="s">
        <v>2</v>
      </c>
      <c r="E120">
        <v>2.02</v>
      </c>
      <c r="F120" s="3" t="s">
        <v>3</v>
      </c>
      <c r="G120" t="s">
        <v>786</v>
      </c>
      <c r="H120" s="4">
        <v>2.79</v>
      </c>
      <c r="I120" t="s">
        <v>787</v>
      </c>
      <c r="K120" s="20">
        <f>IF(C120="","",C120-((TRUNC((C120/1000000),0))*1000000))</f>
        <v>771330</v>
      </c>
      <c r="L120" s="20">
        <f ca="1">IF(A120="","",RANDBETWEEN(1,10))</f>
        <v>3</v>
      </c>
      <c r="M120" s="20" t="str">
        <f ca="1">IF(A120="","",IF(L120&lt;8,"calibracion","validacion"))</f>
        <v>calibracion</v>
      </c>
      <c r="N120" s="20" t="s">
        <v>825</v>
      </c>
    </row>
    <row r="121" spans="1:14" hidden="1" x14ac:dyDescent="0.25">
      <c r="A121" t="s">
        <v>250</v>
      </c>
      <c r="B121">
        <v>775333</v>
      </c>
      <c r="C121" t="s">
        <v>251</v>
      </c>
      <c r="D121" t="s">
        <v>2</v>
      </c>
      <c r="E121">
        <v>2.61</v>
      </c>
      <c r="F121" s="3" t="s">
        <v>3</v>
      </c>
      <c r="G121" t="s">
        <v>786</v>
      </c>
      <c r="H121" s="4">
        <v>0.39</v>
      </c>
      <c r="I121" t="s">
        <v>787</v>
      </c>
      <c r="K121" s="20">
        <f>IF(C121="","",C121-((TRUNC((C121/1000000),0))*1000000))</f>
        <v>775333</v>
      </c>
      <c r="L121" s="20">
        <f ca="1">IF(A121="","",RANDBETWEEN(1,10))</f>
        <v>7</v>
      </c>
      <c r="M121" s="20" t="str">
        <f ca="1">IF(A121="","",IF(L121&lt;8,"calibracion","validacion"))</f>
        <v>calibracion</v>
      </c>
      <c r="N121" s="20" t="s">
        <v>825</v>
      </c>
    </row>
    <row r="122" spans="1:14" x14ac:dyDescent="0.25">
      <c r="A122" t="s">
        <v>252</v>
      </c>
      <c r="B122">
        <v>777309</v>
      </c>
      <c r="C122" t="s">
        <v>253</v>
      </c>
      <c r="D122" t="s">
        <v>2</v>
      </c>
      <c r="E122">
        <v>3.25</v>
      </c>
      <c r="F122" s="3" t="s">
        <v>3</v>
      </c>
      <c r="G122" t="s">
        <v>786</v>
      </c>
      <c r="H122" s="4">
        <v>0.47</v>
      </c>
      <c r="I122" t="s">
        <v>787</v>
      </c>
      <c r="K122" s="20">
        <f>IF(C122="","",C122-((TRUNC((C122/1000000),0))*1000000))</f>
        <v>777309</v>
      </c>
      <c r="L122" s="20">
        <f ca="1">IF(A122="","",RANDBETWEEN(1,10))</f>
        <v>6</v>
      </c>
      <c r="M122" s="20" t="str">
        <f ca="1">IF(A122="","",IF(L122&lt;8,"calibracion","validacion"))</f>
        <v>calibracion</v>
      </c>
      <c r="N122" s="20" t="s">
        <v>824</v>
      </c>
    </row>
    <row r="123" spans="1:14" x14ac:dyDescent="0.25">
      <c r="A123" t="s">
        <v>254</v>
      </c>
      <c r="B123">
        <v>777313</v>
      </c>
      <c r="C123" t="s">
        <v>255</v>
      </c>
      <c r="D123" t="s">
        <v>2</v>
      </c>
      <c r="E123">
        <v>3.59</v>
      </c>
      <c r="F123" s="3" t="s">
        <v>3</v>
      </c>
      <c r="G123" t="s">
        <v>786</v>
      </c>
      <c r="H123" s="4">
        <v>0.49</v>
      </c>
      <c r="I123" t="s">
        <v>787</v>
      </c>
      <c r="K123" s="20">
        <f>IF(C123="","",C123-((TRUNC((C123/1000000),0))*1000000))</f>
        <v>777313</v>
      </c>
      <c r="L123" s="20">
        <f ca="1">IF(A123="","",RANDBETWEEN(1,10))</f>
        <v>2</v>
      </c>
      <c r="M123" s="20" t="str">
        <f ca="1">IF(A123="","",IF(L123&lt;8,"calibracion","validacion"))</f>
        <v>calibracion</v>
      </c>
      <c r="N123" s="20" t="s">
        <v>824</v>
      </c>
    </row>
    <row r="124" spans="1:14" hidden="1" x14ac:dyDescent="0.25">
      <c r="A124" t="s">
        <v>256</v>
      </c>
      <c r="B124">
        <v>777323</v>
      </c>
      <c r="C124" t="s">
        <v>257</v>
      </c>
      <c r="D124" t="s">
        <v>2</v>
      </c>
      <c r="E124">
        <v>2.95</v>
      </c>
      <c r="F124" s="3" t="s">
        <v>3</v>
      </c>
      <c r="G124" t="s">
        <v>786</v>
      </c>
      <c r="H124" s="4">
        <v>0.73</v>
      </c>
      <c r="I124" t="s">
        <v>787</v>
      </c>
      <c r="K124" s="20">
        <f>IF(C124="","",C124-((TRUNC((C124/1000000),0))*1000000))</f>
        <v>777323</v>
      </c>
      <c r="L124" s="20">
        <f ca="1">IF(A124="","",RANDBETWEEN(1,10))</f>
        <v>1</v>
      </c>
      <c r="M124" s="20" t="str">
        <f ca="1">IF(A124="","",IF(L124&lt;8,"calibracion","validacion"))</f>
        <v>calibracion</v>
      </c>
      <c r="N124" s="20" t="s">
        <v>825</v>
      </c>
    </row>
    <row r="125" spans="1:14" hidden="1" x14ac:dyDescent="0.25">
      <c r="A125" t="s">
        <v>258</v>
      </c>
      <c r="B125">
        <v>777328</v>
      </c>
      <c r="C125" t="s">
        <v>259</v>
      </c>
      <c r="D125" t="s">
        <v>2</v>
      </c>
      <c r="E125">
        <v>3.3</v>
      </c>
      <c r="F125" s="3" t="s">
        <v>3</v>
      </c>
      <c r="G125" t="s">
        <v>786</v>
      </c>
      <c r="H125" s="4">
        <v>0.28000000000000003</v>
      </c>
      <c r="I125" t="s">
        <v>787</v>
      </c>
      <c r="K125" s="20">
        <f>IF(C125="","",C125-((TRUNC((C125/1000000),0))*1000000))</f>
        <v>777328</v>
      </c>
      <c r="L125" s="20">
        <f ca="1">IF(A125="","",RANDBETWEEN(1,10))</f>
        <v>9</v>
      </c>
      <c r="M125" s="20" t="str">
        <f ca="1">IF(A125="","",IF(L125&lt;8,"calibracion","validacion"))</f>
        <v>validacion</v>
      </c>
      <c r="N125" s="20" t="s">
        <v>825</v>
      </c>
    </row>
    <row r="126" spans="1:14" hidden="1" x14ac:dyDescent="0.25">
      <c r="A126" t="s">
        <v>260</v>
      </c>
      <c r="B126">
        <v>777330</v>
      </c>
      <c r="C126" t="s">
        <v>261</v>
      </c>
      <c r="D126" t="s">
        <v>2</v>
      </c>
      <c r="E126">
        <v>2.46</v>
      </c>
      <c r="F126" s="3" t="s">
        <v>3</v>
      </c>
      <c r="G126" t="s">
        <v>786</v>
      </c>
      <c r="H126" s="4">
        <v>2.56</v>
      </c>
      <c r="I126" t="s">
        <v>787</v>
      </c>
      <c r="K126" s="20">
        <f>IF(C126="","",C126-((TRUNC((C126/1000000),0))*1000000))</f>
        <v>777330</v>
      </c>
      <c r="L126" s="20">
        <f ca="1">IF(A126="","",RANDBETWEEN(1,10))</f>
        <v>9</v>
      </c>
      <c r="M126" s="20" t="str">
        <f ca="1">IF(A126="","",IF(L126&lt;8,"calibracion","validacion"))</f>
        <v>validacion</v>
      </c>
      <c r="N126" s="20" t="s">
        <v>825</v>
      </c>
    </row>
    <row r="127" spans="1:14" hidden="1" x14ac:dyDescent="0.25">
      <c r="A127" t="s">
        <v>248</v>
      </c>
      <c r="B127">
        <v>777335</v>
      </c>
      <c r="C127" t="s">
        <v>249</v>
      </c>
      <c r="D127" t="s">
        <v>2</v>
      </c>
      <c r="E127">
        <v>2.2999999999999998</v>
      </c>
      <c r="F127" s="3" t="s">
        <v>3</v>
      </c>
      <c r="G127" t="s">
        <v>786</v>
      </c>
      <c r="H127" s="4">
        <v>1</v>
      </c>
      <c r="I127" t="s">
        <v>787</v>
      </c>
      <c r="K127" s="20">
        <f>IF(C127="","",C127-((TRUNC((C127/1000000),0))*1000000))</f>
        <v>777335</v>
      </c>
      <c r="L127" s="20">
        <f ca="1">IF(A127="","",RANDBETWEEN(1,10))</f>
        <v>10</v>
      </c>
      <c r="M127" s="20" t="str">
        <f ca="1">IF(A127="","",IF(L127&lt;8,"calibracion","validacion"))</f>
        <v>validacion</v>
      </c>
      <c r="N127" s="20" t="s">
        <v>825</v>
      </c>
    </row>
    <row r="128" spans="1:14" hidden="1" x14ac:dyDescent="0.25">
      <c r="A128" t="s">
        <v>262</v>
      </c>
      <c r="B128">
        <v>784331</v>
      </c>
      <c r="C128" t="s">
        <v>263</v>
      </c>
      <c r="D128" t="s">
        <v>2</v>
      </c>
      <c r="E128">
        <v>4.2</v>
      </c>
      <c r="F128" s="3" t="s">
        <v>3</v>
      </c>
      <c r="G128" t="s">
        <v>786</v>
      </c>
      <c r="H128" s="4">
        <v>0.16</v>
      </c>
      <c r="I128" t="s">
        <v>787</v>
      </c>
      <c r="K128" s="20">
        <f>IF(C128="","",C128-((TRUNC((C128/1000000),0))*1000000))</f>
        <v>784331</v>
      </c>
      <c r="L128" s="20">
        <f ca="1">IF(A128="","",RANDBETWEEN(1,10))</f>
        <v>4</v>
      </c>
      <c r="M128" s="20" t="str">
        <f ca="1">IF(A128="","",IF(L128&lt;8,"calibracion","validacion"))</f>
        <v>calibracion</v>
      </c>
      <c r="N128" s="20" t="s">
        <v>825</v>
      </c>
    </row>
    <row r="129" spans="1:14" x14ac:dyDescent="0.25">
      <c r="A129" t="s">
        <v>264</v>
      </c>
      <c r="B129">
        <v>807308</v>
      </c>
      <c r="C129" t="s">
        <v>265</v>
      </c>
      <c r="D129" t="s">
        <v>2</v>
      </c>
      <c r="E129">
        <v>2.54</v>
      </c>
      <c r="F129" s="3" t="s">
        <v>3</v>
      </c>
      <c r="G129" t="s">
        <v>786</v>
      </c>
      <c r="H129" s="4">
        <v>0.12</v>
      </c>
      <c r="I129" t="s">
        <v>787</v>
      </c>
      <c r="K129" s="20">
        <f>IF(C129="","",C129-((TRUNC((C129/1000000),0))*1000000))</f>
        <v>807308</v>
      </c>
      <c r="L129" s="20">
        <f ca="1">IF(A129="","",RANDBETWEEN(1,10))</f>
        <v>4</v>
      </c>
      <c r="M129" s="20" t="str">
        <f ca="1">IF(A129="","",IF(L129&lt;8,"calibracion","validacion"))</f>
        <v>calibracion</v>
      </c>
      <c r="N129" s="20" t="s">
        <v>824</v>
      </c>
    </row>
    <row r="130" spans="1:14" hidden="1" x14ac:dyDescent="0.25">
      <c r="A130" t="s">
        <v>266</v>
      </c>
      <c r="B130">
        <v>830323</v>
      </c>
      <c r="C130" t="s">
        <v>267</v>
      </c>
      <c r="D130" t="s">
        <v>2</v>
      </c>
      <c r="E130">
        <v>6.76</v>
      </c>
      <c r="F130" s="3" t="s">
        <v>3</v>
      </c>
      <c r="G130" t="s">
        <v>786</v>
      </c>
      <c r="H130" s="4">
        <v>0.24</v>
      </c>
      <c r="I130" t="s">
        <v>787</v>
      </c>
      <c r="K130" s="20">
        <f>IF(C130="","",C130-((TRUNC((C130/1000000),0))*1000000))</f>
        <v>830323</v>
      </c>
      <c r="L130" s="20">
        <f ca="1">IF(A130="","",RANDBETWEEN(1,10))</f>
        <v>8</v>
      </c>
      <c r="M130" s="20" t="str">
        <f ca="1">IF(A130="","",IF(L130&lt;8,"calibracion","validacion"))</f>
        <v>validacion</v>
      </c>
      <c r="N130" s="20" t="s">
        <v>825</v>
      </c>
    </row>
    <row r="131" spans="1:14" x14ac:dyDescent="0.25">
      <c r="A131" t="s">
        <v>270</v>
      </c>
      <c r="B131">
        <v>891336</v>
      </c>
      <c r="C131" t="s">
        <v>271</v>
      </c>
      <c r="D131" t="s">
        <v>2</v>
      </c>
      <c r="E131">
        <v>7.47</v>
      </c>
      <c r="F131" s="3" t="s">
        <v>3</v>
      </c>
      <c r="G131" t="s">
        <v>786</v>
      </c>
      <c r="H131" s="4">
        <v>0.26</v>
      </c>
      <c r="I131" t="s">
        <v>787</v>
      </c>
      <c r="K131" s="20">
        <f>IF(C131="","",C131-((TRUNC((C131/1000000),0))*1000000))</f>
        <v>891336</v>
      </c>
      <c r="L131" s="20">
        <f ca="1">IF(A131="","",RANDBETWEEN(1,10))</f>
        <v>3</v>
      </c>
      <c r="M131" s="20" t="str">
        <f ca="1">IF(A131="","",IF(L131&lt;8,"calibracion","validacion"))</f>
        <v>calibracion</v>
      </c>
      <c r="N131" s="20" t="s">
        <v>824</v>
      </c>
    </row>
    <row r="132" spans="1:14" hidden="1" x14ac:dyDescent="0.25">
      <c r="A132" t="s">
        <v>268</v>
      </c>
      <c r="B132">
        <v>893320</v>
      </c>
      <c r="C132" t="s">
        <v>269</v>
      </c>
      <c r="D132" t="s">
        <v>2</v>
      </c>
      <c r="E132">
        <v>7.8</v>
      </c>
      <c r="F132" s="3" t="s">
        <v>3</v>
      </c>
      <c r="G132" t="s">
        <v>786</v>
      </c>
      <c r="H132" s="4">
        <v>0.26</v>
      </c>
      <c r="I132" t="s">
        <v>787</v>
      </c>
      <c r="K132" s="20">
        <f>IF(C132="","",C132-((TRUNC((C132/1000000),0))*1000000))</f>
        <v>893320</v>
      </c>
      <c r="L132" s="20">
        <f ca="1">IF(A132="","",RANDBETWEEN(1,10))</f>
        <v>1</v>
      </c>
      <c r="M132" s="20" t="str">
        <f ca="1">IF(A132="","",IF(L132&lt;8,"calibracion","validacion"))</f>
        <v>calibracion</v>
      </c>
      <c r="N132" s="20" t="s">
        <v>825</v>
      </c>
    </row>
    <row r="133" spans="1:14" x14ac:dyDescent="0.25">
      <c r="A133" t="s">
        <v>272</v>
      </c>
      <c r="B133">
        <v>122313</v>
      </c>
      <c r="C133" t="s">
        <v>273</v>
      </c>
      <c r="D133" t="s">
        <v>2</v>
      </c>
      <c r="E133">
        <v>6.99</v>
      </c>
      <c r="F133" s="3" t="s">
        <v>3</v>
      </c>
      <c r="G133" t="s">
        <v>786</v>
      </c>
      <c r="H133" s="4">
        <v>0.28000000000000003</v>
      </c>
      <c r="I133" t="s">
        <v>787</v>
      </c>
      <c r="K133" s="20">
        <f>IF(C133="","",C133-((TRUNC((C133/1000000),0))*1000000))</f>
        <v>122313</v>
      </c>
      <c r="L133" s="20">
        <f ca="1">IF(A133="","",RANDBETWEEN(1,10))</f>
        <v>2</v>
      </c>
      <c r="M133" s="20" t="str">
        <f ca="1">IF(A133="","",IF(L133&lt;8,"calibracion","validacion"))</f>
        <v>calibracion</v>
      </c>
      <c r="N133" s="20" t="s">
        <v>824</v>
      </c>
    </row>
    <row r="134" spans="1:14" x14ac:dyDescent="0.25">
      <c r="A134" t="s">
        <v>274</v>
      </c>
      <c r="B134">
        <v>255316</v>
      </c>
      <c r="C134" t="s">
        <v>275</v>
      </c>
      <c r="D134" t="s">
        <v>2</v>
      </c>
      <c r="E134">
        <v>9.3699999999999992</v>
      </c>
      <c r="F134" s="3" t="s">
        <v>3</v>
      </c>
      <c r="G134" t="s">
        <v>786</v>
      </c>
      <c r="H134" s="4">
        <v>0.37</v>
      </c>
      <c r="I134" t="s">
        <v>787</v>
      </c>
      <c r="K134" s="20">
        <f>IF(C134="","",C134-((TRUNC((C134/1000000),0))*1000000))</f>
        <v>255316</v>
      </c>
      <c r="L134" s="20">
        <f ca="1">IF(A134="","",RANDBETWEEN(1,10))</f>
        <v>2</v>
      </c>
      <c r="M134" s="20" t="str">
        <f ca="1">IF(A134="","",IF(L134&lt;8,"calibracion","validacion"))</f>
        <v>calibracion</v>
      </c>
      <c r="N134" s="20" t="s">
        <v>824</v>
      </c>
    </row>
    <row r="135" spans="1:14" x14ac:dyDescent="0.25">
      <c r="A135" t="s">
        <v>276</v>
      </c>
      <c r="B135">
        <v>263326</v>
      </c>
      <c r="C135" t="s">
        <v>277</v>
      </c>
      <c r="D135" t="s">
        <v>2</v>
      </c>
      <c r="E135">
        <v>9.8699999999999992</v>
      </c>
      <c r="F135" s="3" t="s">
        <v>3</v>
      </c>
      <c r="G135" t="s">
        <v>786</v>
      </c>
      <c r="H135" s="4">
        <v>0.38</v>
      </c>
      <c r="I135" t="s">
        <v>787</v>
      </c>
      <c r="K135" s="20">
        <f>IF(C135="","",C135-((TRUNC((C135/1000000),0))*1000000))</f>
        <v>263326</v>
      </c>
      <c r="L135" s="20">
        <f ca="1">IF(A135="","",RANDBETWEEN(1,10))</f>
        <v>1</v>
      </c>
      <c r="M135" s="20" t="str">
        <f ca="1">IF(A135="","",IF(L135&lt;8,"calibracion","validacion"))</f>
        <v>calibracion</v>
      </c>
      <c r="N135" s="20" t="s">
        <v>824</v>
      </c>
    </row>
    <row r="136" spans="1:14" x14ac:dyDescent="0.25">
      <c r="A136" t="s">
        <v>278</v>
      </c>
      <c r="B136">
        <v>490332</v>
      </c>
      <c r="C136" t="s">
        <v>279</v>
      </c>
      <c r="D136" t="s">
        <v>2</v>
      </c>
      <c r="E136">
        <v>8.0399999999999991</v>
      </c>
      <c r="F136" s="3" t="s">
        <v>3</v>
      </c>
      <c r="G136" t="s">
        <v>786</v>
      </c>
      <c r="H136" s="4">
        <v>0.26</v>
      </c>
      <c r="I136" t="s">
        <v>787</v>
      </c>
      <c r="K136" s="20">
        <f>IF(C136="","",C136-((TRUNC((C136/1000000),0))*1000000))</f>
        <v>490332</v>
      </c>
      <c r="L136" s="20">
        <f ca="1">IF(A136="","",RANDBETWEEN(1,10))</f>
        <v>5</v>
      </c>
      <c r="M136" s="20" t="str">
        <f ca="1">IF(A136="","",IF(L136&lt;8,"calibracion","validacion"))</f>
        <v>calibracion</v>
      </c>
      <c r="N136" s="20" t="s">
        <v>824</v>
      </c>
    </row>
    <row r="137" spans="1:14" x14ac:dyDescent="0.25">
      <c r="A137" t="s">
        <v>280</v>
      </c>
      <c r="B137">
        <v>490333</v>
      </c>
      <c r="C137" t="s">
        <v>281</v>
      </c>
      <c r="D137" t="s">
        <v>2</v>
      </c>
      <c r="E137">
        <v>7.75</v>
      </c>
      <c r="F137" s="3" t="s">
        <v>3</v>
      </c>
      <c r="G137" t="s">
        <v>786</v>
      </c>
      <c r="H137" s="4">
        <v>0.22</v>
      </c>
      <c r="I137" t="s">
        <v>787</v>
      </c>
      <c r="K137" s="20">
        <f>IF(C137="","",C137-((TRUNC((C137/1000000),0))*1000000))</f>
        <v>490333</v>
      </c>
      <c r="L137" s="20">
        <f ca="1">IF(A137="","",RANDBETWEEN(1,10))</f>
        <v>9</v>
      </c>
      <c r="M137" s="20" t="str">
        <f ca="1">IF(A137="","",IF(L137&lt;8,"calibracion","validacion"))</f>
        <v>validacion</v>
      </c>
      <c r="N137" s="20" t="s">
        <v>824</v>
      </c>
    </row>
    <row r="138" spans="1:14" x14ac:dyDescent="0.25">
      <c r="A138" t="s">
        <v>282</v>
      </c>
      <c r="B138">
        <v>519338</v>
      </c>
      <c r="C138" t="s">
        <v>283</v>
      </c>
      <c r="D138" t="s">
        <v>2</v>
      </c>
      <c r="E138">
        <v>4.55</v>
      </c>
      <c r="F138" s="3" t="s">
        <v>3</v>
      </c>
      <c r="G138" t="s">
        <v>786</v>
      </c>
      <c r="H138" s="4">
        <v>0.53</v>
      </c>
      <c r="I138" t="s">
        <v>787</v>
      </c>
      <c r="K138" s="20">
        <f>IF(C138="","",C138-((TRUNC((C138/1000000),0))*1000000))</f>
        <v>519338</v>
      </c>
      <c r="L138" s="20">
        <f ca="1">IF(A138="","",RANDBETWEEN(1,10))</f>
        <v>3</v>
      </c>
      <c r="M138" s="20" t="str">
        <f ca="1">IF(A138="","",IF(L138&lt;8,"calibracion","validacion"))</f>
        <v>calibracion</v>
      </c>
      <c r="N138" s="20" t="s">
        <v>824</v>
      </c>
    </row>
    <row r="139" spans="1:14" hidden="1" x14ac:dyDescent="0.25">
      <c r="A139" t="s">
        <v>284</v>
      </c>
      <c r="B139">
        <v>520310</v>
      </c>
      <c r="C139" t="s">
        <v>285</v>
      </c>
      <c r="D139" t="s">
        <v>2</v>
      </c>
      <c r="E139">
        <v>2.31</v>
      </c>
      <c r="F139" s="3" t="s">
        <v>3</v>
      </c>
      <c r="G139" t="s">
        <v>786</v>
      </c>
      <c r="H139" s="4">
        <v>1.52</v>
      </c>
      <c r="I139" t="s">
        <v>787</v>
      </c>
      <c r="K139" s="20">
        <f>IF(C139="","",C139-((TRUNC((C139/1000000),0))*1000000))</f>
        <v>520310</v>
      </c>
      <c r="L139" s="20">
        <f ca="1">IF(A139="","",RANDBETWEEN(1,10))</f>
        <v>4</v>
      </c>
      <c r="M139" s="20" t="str">
        <f ca="1">IF(A139="","",IF(L139&lt;8,"calibracion","validacion"))</f>
        <v>calibracion</v>
      </c>
      <c r="N139" s="20" t="s">
        <v>825</v>
      </c>
    </row>
    <row r="140" spans="1:14" x14ac:dyDescent="0.25">
      <c r="A140" t="s">
        <v>286</v>
      </c>
      <c r="B140">
        <v>520318</v>
      </c>
      <c r="C140" t="s">
        <v>287</v>
      </c>
      <c r="D140" t="s">
        <v>2</v>
      </c>
      <c r="E140">
        <v>1.84</v>
      </c>
      <c r="F140" s="3" t="s">
        <v>3</v>
      </c>
      <c r="G140" t="s">
        <v>786</v>
      </c>
      <c r="H140" s="4">
        <v>0.53</v>
      </c>
      <c r="I140" t="s">
        <v>787</v>
      </c>
      <c r="K140" s="20">
        <f>IF(C140="","",C140-((TRUNC((C140/1000000),0))*1000000))</f>
        <v>520318</v>
      </c>
      <c r="L140" s="20">
        <f ca="1">IF(A140="","",RANDBETWEEN(1,10))</f>
        <v>3</v>
      </c>
      <c r="M140" s="20" t="str">
        <f ca="1">IF(A140="","",IF(L140&lt;8,"calibracion","validacion"))</f>
        <v>calibracion</v>
      </c>
      <c r="N140" s="20" t="s">
        <v>824</v>
      </c>
    </row>
    <row r="141" spans="1:14" x14ac:dyDescent="0.25">
      <c r="A141" t="s">
        <v>288</v>
      </c>
      <c r="B141">
        <v>520332</v>
      </c>
      <c r="C141" t="s">
        <v>289</v>
      </c>
      <c r="D141" t="s">
        <v>2</v>
      </c>
      <c r="E141">
        <v>3.5</v>
      </c>
      <c r="F141" s="3" t="s">
        <v>3</v>
      </c>
      <c r="G141" t="s">
        <v>786</v>
      </c>
      <c r="H141" s="4">
        <v>0.53</v>
      </c>
      <c r="I141" t="s">
        <v>787</v>
      </c>
      <c r="K141" s="20">
        <f>IF(C141="","",C141-((TRUNC((C141/1000000),0))*1000000))</f>
        <v>520332</v>
      </c>
      <c r="L141" s="20">
        <f ca="1">IF(A141="","",RANDBETWEEN(1,10))</f>
        <v>1</v>
      </c>
      <c r="M141" s="20" t="str">
        <f ca="1">IF(A141="","",IF(L141&lt;8,"calibracion","validacion"))</f>
        <v>calibracion</v>
      </c>
      <c r="N141" s="20" t="s">
        <v>824</v>
      </c>
    </row>
    <row r="142" spans="1:14" hidden="1" x14ac:dyDescent="0.25">
      <c r="A142" t="s">
        <v>312</v>
      </c>
      <c r="B142">
        <v>521330</v>
      </c>
      <c r="C142" t="s">
        <v>313</v>
      </c>
      <c r="D142" t="s">
        <v>2</v>
      </c>
      <c r="E142">
        <v>3.5</v>
      </c>
      <c r="F142" s="3" t="s">
        <v>3</v>
      </c>
      <c r="G142" t="s">
        <v>786</v>
      </c>
      <c r="H142" s="4">
        <v>0.73</v>
      </c>
      <c r="I142" t="s">
        <v>787</v>
      </c>
      <c r="K142" s="20">
        <f>IF(C142="","",C142-((TRUNC((C142/1000000),0))*1000000))</f>
        <v>521330</v>
      </c>
      <c r="L142" s="20">
        <f ca="1">IF(A142="","",RANDBETWEEN(1,10))</f>
        <v>7</v>
      </c>
      <c r="M142" s="20" t="str">
        <f ca="1">IF(A142="","",IF(L142&lt;8,"calibracion","validacion"))</f>
        <v>calibracion</v>
      </c>
      <c r="N142" s="20" t="s">
        <v>825</v>
      </c>
    </row>
    <row r="143" spans="1:14" x14ac:dyDescent="0.25">
      <c r="A143" t="s">
        <v>314</v>
      </c>
      <c r="B143">
        <v>521333</v>
      </c>
      <c r="C143" t="s">
        <v>315</v>
      </c>
      <c r="D143" t="s">
        <v>2</v>
      </c>
      <c r="E143">
        <v>3.46</v>
      </c>
      <c r="F143" s="3" t="s">
        <v>3</v>
      </c>
      <c r="G143" t="s">
        <v>786</v>
      </c>
      <c r="H143" s="4">
        <v>0.65</v>
      </c>
      <c r="I143" t="s">
        <v>787</v>
      </c>
      <c r="K143" s="20">
        <f>IF(C143="","",C143-((TRUNC((C143/1000000),0))*1000000))</f>
        <v>521333</v>
      </c>
      <c r="L143" s="20">
        <f ca="1">IF(A143="","",RANDBETWEEN(1,10))</f>
        <v>10</v>
      </c>
      <c r="M143" s="20" t="str">
        <f ca="1">IF(A143="","",IF(L143&lt;8,"calibracion","validacion"))</f>
        <v>validacion</v>
      </c>
      <c r="N143" s="20" t="s">
        <v>824</v>
      </c>
    </row>
    <row r="144" spans="1:14" hidden="1" x14ac:dyDescent="0.25">
      <c r="A144" t="s">
        <v>310</v>
      </c>
      <c r="B144">
        <v>521334</v>
      </c>
      <c r="C144" t="s">
        <v>311</v>
      </c>
      <c r="D144" t="s">
        <v>2</v>
      </c>
      <c r="E144">
        <v>3.69</v>
      </c>
      <c r="F144" s="3" t="s">
        <v>3</v>
      </c>
      <c r="G144" t="s">
        <v>786</v>
      </c>
      <c r="H144" s="4">
        <v>0.34</v>
      </c>
      <c r="I144" t="s">
        <v>787</v>
      </c>
      <c r="K144" s="20">
        <f>IF(C144="","",C144-((TRUNC((C144/1000000),0))*1000000))</f>
        <v>521334</v>
      </c>
      <c r="L144" s="20">
        <f ca="1">IF(A144="","",RANDBETWEEN(1,10))</f>
        <v>9</v>
      </c>
      <c r="M144" s="20" t="str">
        <f ca="1">IF(A144="","",IF(L144&lt;8,"calibracion","validacion"))</f>
        <v>validacion</v>
      </c>
      <c r="N144" s="20" t="s">
        <v>825</v>
      </c>
    </row>
    <row r="145" spans="1:14" x14ac:dyDescent="0.25">
      <c r="A145" t="s">
        <v>316</v>
      </c>
      <c r="B145">
        <v>521336</v>
      </c>
      <c r="C145" t="s">
        <v>317</v>
      </c>
      <c r="D145" t="s">
        <v>2</v>
      </c>
      <c r="E145">
        <v>4.67</v>
      </c>
      <c r="F145" s="3" t="s">
        <v>3</v>
      </c>
      <c r="G145" t="s">
        <v>786</v>
      </c>
      <c r="H145" s="4">
        <v>0.49</v>
      </c>
      <c r="I145" t="s">
        <v>787</v>
      </c>
      <c r="K145" s="20">
        <f>IF(C145="","",C145-((TRUNC((C145/1000000),0))*1000000))</f>
        <v>521336</v>
      </c>
      <c r="L145" s="20">
        <f ca="1">IF(A145="","",RANDBETWEEN(1,10))</f>
        <v>6</v>
      </c>
      <c r="M145" s="20" t="str">
        <f ca="1">IF(A145="","",IF(L145&lt;8,"calibracion","validacion"))</f>
        <v>calibracion</v>
      </c>
      <c r="N145" s="20" t="s">
        <v>824</v>
      </c>
    </row>
    <row r="146" spans="1:14" x14ac:dyDescent="0.25">
      <c r="A146" t="s">
        <v>318</v>
      </c>
      <c r="B146">
        <v>521337</v>
      </c>
      <c r="C146" t="s">
        <v>319</v>
      </c>
      <c r="D146" t="s">
        <v>2</v>
      </c>
      <c r="E146">
        <v>2.98</v>
      </c>
      <c r="F146" s="3" t="s">
        <v>3</v>
      </c>
      <c r="G146" t="s">
        <v>786</v>
      </c>
      <c r="H146" s="4">
        <v>1.18</v>
      </c>
      <c r="I146" t="s">
        <v>787</v>
      </c>
      <c r="K146" s="20">
        <f>IF(C146="","",C146-((TRUNC((C146/1000000),0))*1000000))</f>
        <v>521337</v>
      </c>
      <c r="L146" s="20">
        <f ca="1">IF(A146="","",RANDBETWEEN(1,10))</f>
        <v>4</v>
      </c>
      <c r="M146" s="20" t="str">
        <f ca="1">IF(A146="","",IF(L146&lt;8,"calibracion","validacion"))</f>
        <v>calibracion</v>
      </c>
      <c r="N146" s="20" t="s">
        <v>824</v>
      </c>
    </row>
    <row r="147" spans="1:14" hidden="1" x14ac:dyDescent="0.25">
      <c r="A147" t="s">
        <v>320</v>
      </c>
      <c r="B147">
        <v>521338</v>
      </c>
      <c r="C147" t="s">
        <v>321</v>
      </c>
      <c r="D147" t="s">
        <v>2</v>
      </c>
      <c r="E147">
        <v>3.75</v>
      </c>
      <c r="F147" s="3" t="s">
        <v>3</v>
      </c>
      <c r="G147" t="s">
        <v>786</v>
      </c>
      <c r="H147" s="4">
        <v>0.42</v>
      </c>
      <c r="I147" t="s">
        <v>787</v>
      </c>
      <c r="K147" s="20">
        <f>IF(C147="","",C147-((TRUNC((C147/1000000),0))*1000000))</f>
        <v>521338</v>
      </c>
      <c r="L147" s="20">
        <f ca="1">IF(A147="","",RANDBETWEEN(1,10))</f>
        <v>2</v>
      </c>
      <c r="M147" s="20" t="str">
        <f ca="1">IF(A147="","",IF(L147&lt;8,"calibracion","validacion"))</f>
        <v>calibracion</v>
      </c>
      <c r="N147" s="20" t="s">
        <v>825</v>
      </c>
    </row>
    <row r="148" spans="1:14" hidden="1" x14ac:dyDescent="0.25">
      <c r="A148" t="s">
        <v>324</v>
      </c>
      <c r="B148">
        <v>521340</v>
      </c>
      <c r="C148" t="s">
        <v>325</v>
      </c>
      <c r="D148" t="s">
        <v>2</v>
      </c>
      <c r="E148">
        <v>3.54</v>
      </c>
      <c r="F148" s="3" t="s">
        <v>3</v>
      </c>
      <c r="G148" t="s">
        <v>786</v>
      </c>
      <c r="H148" s="4">
        <v>1.99</v>
      </c>
      <c r="I148" t="s">
        <v>787</v>
      </c>
      <c r="K148" s="20">
        <f>IF(C148="","",C148-((TRUNC((C148/1000000),0))*1000000))</f>
        <v>521340</v>
      </c>
      <c r="L148" s="20">
        <f ca="1">IF(A148="","",RANDBETWEEN(1,10))</f>
        <v>6</v>
      </c>
      <c r="M148" s="20" t="str">
        <f ca="1">IF(A148="","",IF(L148&lt;8,"calibracion","validacion"))</f>
        <v>calibracion</v>
      </c>
      <c r="N148" s="20" t="s">
        <v>825</v>
      </c>
    </row>
    <row r="149" spans="1:14" x14ac:dyDescent="0.25">
      <c r="A149" t="s">
        <v>290</v>
      </c>
      <c r="B149">
        <v>522308</v>
      </c>
      <c r="C149" t="s">
        <v>291</v>
      </c>
      <c r="D149" t="s">
        <v>2</v>
      </c>
      <c r="E149">
        <v>2.91</v>
      </c>
      <c r="F149" s="3" t="s">
        <v>3</v>
      </c>
      <c r="G149" t="s">
        <v>786</v>
      </c>
      <c r="H149" s="4">
        <v>0.98</v>
      </c>
      <c r="I149" t="s">
        <v>787</v>
      </c>
      <c r="K149" s="20">
        <f>IF(C149="","",C149-((TRUNC((C149/1000000),0))*1000000))</f>
        <v>522308</v>
      </c>
      <c r="L149" s="20">
        <f ca="1">IF(A149="","",RANDBETWEEN(1,10))</f>
        <v>2</v>
      </c>
      <c r="M149" s="20" t="str">
        <f ca="1">IF(A149="","",IF(L149&lt;8,"calibracion","validacion"))</f>
        <v>calibracion</v>
      </c>
      <c r="N149" s="20" t="s">
        <v>824</v>
      </c>
    </row>
    <row r="150" spans="1:14" hidden="1" x14ac:dyDescent="0.25">
      <c r="A150" t="s">
        <v>294</v>
      </c>
      <c r="B150">
        <v>522314</v>
      </c>
      <c r="C150" t="s">
        <v>295</v>
      </c>
      <c r="D150" t="s">
        <v>2</v>
      </c>
      <c r="E150">
        <v>3.19</v>
      </c>
      <c r="F150" s="3" t="s">
        <v>3</v>
      </c>
      <c r="G150" t="s">
        <v>786</v>
      </c>
      <c r="H150" s="4">
        <v>2.21</v>
      </c>
      <c r="I150" t="s">
        <v>787</v>
      </c>
      <c r="K150" s="20">
        <f>IF(C150="","",C150-((TRUNC((C150/1000000),0))*1000000))</f>
        <v>522314</v>
      </c>
      <c r="L150" s="20">
        <f ca="1">IF(A150="","",RANDBETWEEN(1,10))</f>
        <v>7</v>
      </c>
      <c r="M150" s="20" t="str">
        <f ca="1">IF(A150="","",IF(L150&lt;8,"calibracion","validacion"))</f>
        <v>calibracion</v>
      </c>
      <c r="N150" s="20" t="s">
        <v>825</v>
      </c>
    </row>
    <row r="151" spans="1:14" hidden="1" x14ac:dyDescent="0.25">
      <c r="A151" t="s">
        <v>292</v>
      </c>
      <c r="B151">
        <v>522316</v>
      </c>
      <c r="C151" t="s">
        <v>293</v>
      </c>
      <c r="D151" t="s">
        <v>2</v>
      </c>
      <c r="E151">
        <v>3.26</v>
      </c>
      <c r="F151" s="3" t="s">
        <v>3</v>
      </c>
      <c r="G151" t="s">
        <v>786</v>
      </c>
      <c r="H151" s="4">
        <v>0.64</v>
      </c>
      <c r="I151" t="s">
        <v>787</v>
      </c>
      <c r="K151" s="20">
        <f>IF(C151="","",C151-((TRUNC((C151/1000000),0))*1000000))</f>
        <v>522316</v>
      </c>
      <c r="L151" s="20">
        <f ca="1">IF(A151="","",RANDBETWEEN(1,10))</f>
        <v>10</v>
      </c>
      <c r="M151" s="20" t="str">
        <f ca="1">IF(A151="","",IF(L151&lt;8,"calibracion","validacion"))</f>
        <v>validacion</v>
      </c>
      <c r="N151" s="20" t="s">
        <v>825</v>
      </c>
    </row>
    <row r="152" spans="1:14" x14ac:dyDescent="0.25">
      <c r="A152" t="s">
        <v>296</v>
      </c>
      <c r="B152">
        <v>522318</v>
      </c>
      <c r="C152" t="s">
        <v>297</v>
      </c>
      <c r="D152" t="s">
        <v>2</v>
      </c>
      <c r="E152">
        <v>3.21</v>
      </c>
      <c r="F152" s="3" t="s">
        <v>3</v>
      </c>
      <c r="G152" t="s">
        <v>786</v>
      </c>
      <c r="H152" s="4">
        <v>1.28</v>
      </c>
      <c r="I152" t="s">
        <v>787</v>
      </c>
      <c r="K152" s="20">
        <f>IF(C152="","",C152-((TRUNC((C152/1000000),0))*1000000))</f>
        <v>522318</v>
      </c>
      <c r="L152" s="20">
        <f ca="1">IF(A152="","",RANDBETWEEN(1,10))</f>
        <v>5</v>
      </c>
      <c r="M152" s="20" t="str">
        <f ca="1">IF(A152="","",IF(L152&lt;8,"calibracion","validacion"))</f>
        <v>calibracion</v>
      </c>
      <c r="N152" s="20" t="s">
        <v>824</v>
      </c>
    </row>
    <row r="153" spans="1:14" hidden="1" x14ac:dyDescent="0.25">
      <c r="A153" t="s">
        <v>298</v>
      </c>
      <c r="B153">
        <v>522320</v>
      </c>
      <c r="C153" t="s">
        <v>299</v>
      </c>
      <c r="D153" t="s">
        <v>2</v>
      </c>
      <c r="E153">
        <v>3.45</v>
      </c>
      <c r="F153" s="3" t="s">
        <v>3</v>
      </c>
      <c r="G153" t="s">
        <v>786</v>
      </c>
      <c r="H153" s="4">
        <v>0.56999999999999995</v>
      </c>
      <c r="I153" t="s">
        <v>787</v>
      </c>
      <c r="K153" s="20">
        <f>IF(C153="","",C153-((TRUNC((C153/1000000),0))*1000000))</f>
        <v>522320</v>
      </c>
      <c r="L153" s="20">
        <f ca="1">IF(A153="","",RANDBETWEEN(1,10))</f>
        <v>1</v>
      </c>
      <c r="M153" s="20" t="str">
        <f ca="1">IF(A153="","",IF(L153&lt;8,"calibracion","validacion"))</f>
        <v>calibracion</v>
      </c>
      <c r="N153" s="20" t="s">
        <v>825</v>
      </c>
    </row>
    <row r="154" spans="1:14" hidden="1" x14ac:dyDescent="0.25">
      <c r="A154" t="s">
        <v>304</v>
      </c>
      <c r="B154">
        <v>522322</v>
      </c>
      <c r="C154" t="s">
        <v>305</v>
      </c>
      <c r="D154" t="s">
        <v>2</v>
      </c>
      <c r="E154">
        <v>3.46</v>
      </c>
      <c r="F154" s="3" t="s">
        <v>3</v>
      </c>
      <c r="G154" t="s">
        <v>786</v>
      </c>
      <c r="H154" s="4">
        <v>1</v>
      </c>
      <c r="I154" t="s">
        <v>787</v>
      </c>
      <c r="K154" s="20">
        <f>IF(C154="","",C154-((TRUNC((C154/1000000),0))*1000000))</f>
        <v>522322</v>
      </c>
      <c r="L154" s="20">
        <f ca="1">IF(A154="","",RANDBETWEEN(1,10))</f>
        <v>10</v>
      </c>
      <c r="M154" s="20" t="str">
        <f ca="1">IF(A154="","",IF(L154&lt;8,"calibracion","validacion"))</f>
        <v>validacion</v>
      </c>
      <c r="N154" s="20" t="s">
        <v>825</v>
      </c>
    </row>
    <row r="155" spans="1:14" x14ac:dyDescent="0.25">
      <c r="A155" t="s">
        <v>300</v>
      </c>
      <c r="B155">
        <v>522324</v>
      </c>
      <c r="C155" t="s">
        <v>301</v>
      </c>
      <c r="D155" t="s">
        <v>2</v>
      </c>
      <c r="E155">
        <v>3.65</v>
      </c>
      <c r="F155" s="3" t="s">
        <v>3</v>
      </c>
      <c r="G155" t="s">
        <v>786</v>
      </c>
      <c r="H155" s="4">
        <v>0.7</v>
      </c>
      <c r="I155" t="s">
        <v>787</v>
      </c>
      <c r="K155" s="20">
        <f>IF(C155="","",C155-((TRUNC((C155/1000000),0))*1000000))</f>
        <v>522324</v>
      </c>
      <c r="L155" s="20">
        <f ca="1">IF(A155="","",RANDBETWEEN(1,10))</f>
        <v>3</v>
      </c>
      <c r="M155" s="20" t="str">
        <f ca="1">IF(A155="","",IF(L155&lt;8,"calibracion","validacion"))</f>
        <v>calibracion</v>
      </c>
      <c r="N155" s="20" t="s">
        <v>824</v>
      </c>
    </row>
    <row r="156" spans="1:14" hidden="1" x14ac:dyDescent="0.25">
      <c r="A156" t="s">
        <v>302</v>
      </c>
      <c r="B156">
        <v>522328</v>
      </c>
      <c r="C156" t="s">
        <v>303</v>
      </c>
      <c r="D156" t="s">
        <v>2</v>
      </c>
      <c r="E156">
        <v>3.25</v>
      </c>
      <c r="F156" s="3" t="s">
        <v>3</v>
      </c>
      <c r="G156" t="s">
        <v>786</v>
      </c>
      <c r="H156" s="4">
        <v>0.54</v>
      </c>
      <c r="I156" t="s">
        <v>787</v>
      </c>
      <c r="K156" s="20">
        <f>IF(C156="","",C156-((TRUNC((C156/1000000),0))*1000000))</f>
        <v>522328</v>
      </c>
      <c r="L156" s="20">
        <f ca="1">IF(A156="","",RANDBETWEEN(1,10))</f>
        <v>1</v>
      </c>
      <c r="M156" s="20" t="str">
        <f ca="1">IF(A156="","",IF(L156&lt;8,"calibracion","validacion"))</f>
        <v>calibracion</v>
      </c>
      <c r="N156" s="20" t="s">
        <v>825</v>
      </c>
    </row>
    <row r="157" spans="1:14" hidden="1" x14ac:dyDescent="0.25">
      <c r="A157" t="s">
        <v>306</v>
      </c>
      <c r="B157">
        <v>522332</v>
      </c>
      <c r="C157" t="s">
        <v>307</v>
      </c>
      <c r="D157" t="s">
        <v>2</v>
      </c>
      <c r="E157">
        <v>3.64</v>
      </c>
      <c r="F157" s="3" t="s">
        <v>3</v>
      </c>
      <c r="G157" t="s">
        <v>786</v>
      </c>
      <c r="H157" s="4">
        <v>0.56000000000000005</v>
      </c>
      <c r="I157" t="s">
        <v>787</v>
      </c>
      <c r="K157" s="20">
        <f>IF(C157="","",C157-((TRUNC((C157/1000000),0))*1000000))</f>
        <v>522332</v>
      </c>
      <c r="L157" s="20">
        <f ca="1">IF(A157="","",RANDBETWEEN(1,10))</f>
        <v>3</v>
      </c>
      <c r="M157" s="20" t="str">
        <f ca="1">IF(A157="","",IF(L157&lt;8,"calibracion","validacion"))</f>
        <v>calibracion</v>
      </c>
      <c r="N157" s="20" t="s">
        <v>825</v>
      </c>
    </row>
    <row r="158" spans="1:14" hidden="1" x14ac:dyDescent="0.25">
      <c r="A158" t="s">
        <v>322</v>
      </c>
      <c r="B158">
        <v>525302</v>
      </c>
      <c r="C158" t="s">
        <v>323</v>
      </c>
      <c r="D158" t="s">
        <v>2</v>
      </c>
      <c r="E158">
        <v>3.4</v>
      </c>
      <c r="F158" s="3" t="s">
        <v>3</v>
      </c>
      <c r="G158" t="s">
        <v>786</v>
      </c>
      <c r="H158" s="4">
        <v>0.56000000000000005</v>
      </c>
      <c r="I158" t="s">
        <v>787</v>
      </c>
      <c r="K158" s="20">
        <f>IF(C158="","",C158-((TRUNC((C158/1000000),0))*1000000))</f>
        <v>525302</v>
      </c>
      <c r="L158" s="20">
        <f ca="1">IF(A158="","",RANDBETWEEN(1,10))</f>
        <v>4</v>
      </c>
      <c r="M158" s="20" t="str">
        <f ca="1">IF(A158="","",IF(L158&lt;8,"calibracion","validacion"))</f>
        <v>calibracion</v>
      </c>
      <c r="N158" s="20" t="s">
        <v>825</v>
      </c>
    </row>
    <row r="159" spans="1:14" hidden="1" x14ac:dyDescent="0.25">
      <c r="A159" t="s">
        <v>328</v>
      </c>
      <c r="B159">
        <v>525305</v>
      </c>
      <c r="C159" t="s">
        <v>329</v>
      </c>
      <c r="D159" t="s">
        <v>2</v>
      </c>
      <c r="E159">
        <v>2.4500000000000002</v>
      </c>
      <c r="F159" s="3" t="s">
        <v>3</v>
      </c>
      <c r="G159" t="s">
        <v>786</v>
      </c>
      <c r="H159" s="4">
        <v>0.84</v>
      </c>
      <c r="I159" t="s">
        <v>787</v>
      </c>
      <c r="K159" s="20">
        <f>IF(C159="","",C159-((TRUNC((C159/1000000),0))*1000000))</f>
        <v>525305</v>
      </c>
      <c r="L159" s="20">
        <f ca="1">IF(A159="","",RANDBETWEEN(1,10))</f>
        <v>7</v>
      </c>
      <c r="M159" s="20" t="str">
        <f ca="1">IF(A159="","",IF(L159&lt;8,"calibracion","validacion"))</f>
        <v>calibracion</v>
      </c>
      <c r="N159" s="20" t="s">
        <v>825</v>
      </c>
    </row>
    <row r="160" spans="1:14" x14ac:dyDescent="0.25">
      <c r="A160" t="s">
        <v>330</v>
      </c>
      <c r="B160">
        <v>525306</v>
      </c>
      <c r="C160" t="s">
        <v>331</v>
      </c>
      <c r="D160" t="s">
        <v>2</v>
      </c>
      <c r="E160">
        <v>2.66</v>
      </c>
      <c r="F160" s="3" t="s">
        <v>3</v>
      </c>
      <c r="G160" t="s">
        <v>786</v>
      </c>
      <c r="H160" s="4">
        <v>0.97</v>
      </c>
      <c r="I160" t="s">
        <v>787</v>
      </c>
      <c r="K160" s="20">
        <f>IF(C160="","",C160-((TRUNC((C160/1000000),0))*1000000))</f>
        <v>525306</v>
      </c>
      <c r="L160" s="20">
        <f ca="1">IF(A160="","",RANDBETWEEN(1,10))</f>
        <v>1</v>
      </c>
      <c r="M160" s="20" t="str">
        <f ca="1">IF(A160="","",IF(L160&lt;8,"calibracion","validacion"))</f>
        <v>calibracion</v>
      </c>
      <c r="N160" s="20" t="s">
        <v>824</v>
      </c>
    </row>
    <row r="161" spans="1:14" hidden="1" x14ac:dyDescent="0.25">
      <c r="A161" t="s">
        <v>332</v>
      </c>
      <c r="B161">
        <v>525319</v>
      </c>
      <c r="C161" t="s">
        <v>333</v>
      </c>
      <c r="D161" t="s">
        <v>2</v>
      </c>
      <c r="E161">
        <v>2.95</v>
      </c>
      <c r="F161" s="3" t="s">
        <v>3</v>
      </c>
      <c r="G161" t="s">
        <v>786</v>
      </c>
      <c r="H161" s="4">
        <v>1.96</v>
      </c>
      <c r="I161" t="s">
        <v>787</v>
      </c>
      <c r="K161" s="20">
        <f>IF(C161="","",C161-((TRUNC((C161/1000000),0))*1000000))</f>
        <v>525319</v>
      </c>
      <c r="L161" s="20">
        <f ca="1">IF(A161="","",RANDBETWEEN(1,10))</f>
        <v>1</v>
      </c>
      <c r="M161" s="20" t="str">
        <f ca="1">IF(A161="","",IF(L161&lt;8,"calibracion","validacion"))</f>
        <v>calibracion</v>
      </c>
      <c r="N161" s="20" t="s">
        <v>825</v>
      </c>
    </row>
    <row r="162" spans="1:14" x14ac:dyDescent="0.25">
      <c r="A162" t="s">
        <v>334</v>
      </c>
      <c r="B162">
        <v>525320</v>
      </c>
      <c r="C162" t="s">
        <v>335</v>
      </c>
      <c r="D162" t="s">
        <v>2</v>
      </c>
      <c r="E162">
        <v>3.38</v>
      </c>
      <c r="F162" s="3" t="s">
        <v>3</v>
      </c>
      <c r="G162" t="s">
        <v>786</v>
      </c>
      <c r="H162" s="4">
        <v>0.78</v>
      </c>
      <c r="I162" t="s">
        <v>787</v>
      </c>
      <c r="K162" s="20">
        <f>IF(C162="","",C162-((TRUNC((C162/1000000),0))*1000000))</f>
        <v>525320</v>
      </c>
      <c r="L162" s="20">
        <f ca="1">IF(A162="","",RANDBETWEEN(1,10))</f>
        <v>6</v>
      </c>
      <c r="M162" s="20" t="str">
        <f ca="1">IF(A162="","",IF(L162&lt;8,"calibracion","validacion"))</f>
        <v>calibracion</v>
      </c>
      <c r="N162" s="20" t="s">
        <v>824</v>
      </c>
    </row>
    <row r="163" spans="1:14" hidden="1" x14ac:dyDescent="0.25">
      <c r="A163" t="s">
        <v>336</v>
      </c>
      <c r="B163">
        <v>525322</v>
      </c>
      <c r="C163" t="s">
        <v>337</v>
      </c>
      <c r="D163" t="s">
        <v>2</v>
      </c>
      <c r="E163">
        <v>3.27</v>
      </c>
      <c r="F163" s="3" t="s">
        <v>3</v>
      </c>
      <c r="G163" t="s">
        <v>786</v>
      </c>
      <c r="H163" s="4">
        <v>0.47</v>
      </c>
      <c r="I163" t="s">
        <v>789</v>
      </c>
      <c r="K163" s="20">
        <f>IF(C163="","",C163-((TRUNC((C163/1000000),0))*1000000))</f>
        <v>525322</v>
      </c>
      <c r="L163" s="20">
        <f ca="1">IF(A163="","",RANDBETWEEN(1,10))</f>
        <v>6</v>
      </c>
      <c r="M163" s="20" t="str">
        <f ca="1">IF(A163="","",IF(L163&lt;8,"calibracion","validacion"))</f>
        <v>calibracion</v>
      </c>
      <c r="N163" s="20" t="s">
        <v>825</v>
      </c>
    </row>
    <row r="164" spans="1:14" hidden="1" x14ac:dyDescent="0.25">
      <c r="A164" t="s">
        <v>338</v>
      </c>
      <c r="B164">
        <v>525323</v>
      </c>
      <c r="C164" t="s">
        <v>339</v>
      </c>
      <c r="D164" t="s">
        <v>2</v>
      </c>
      <c r="E164">
        <v>3.45</v>
      </c>
      <c r="F164" s="3" t="s">
        <v>3</v>
      </c>
      <c r="G164" t="s">
        <v>786</v>
      </c>
      <c r="H164" s="4">
        <v>0.63</v>
      </c>
      <c r="I164" t="s">
        <v>787</v>
      </c>
      <c r="K164" s="20">
        <f>IF(C164="","",C164-((TRUNC((C164/1000000),0))*1000000))</f>
        <v>525323</v>
      </c>
      <c r="L164" s="20">
        <f ca="1">IF(A164="","",RANDBETWEEN(1,10))</f>
        <v>2</v>
      </c>
      <c r="M164" s="20" t="str">
        <f ca="1">IF(A164="","",IF(L164&lt;8,"calibracion","validacion"))</f>
        <v>calibracion</v>
      </c>
      <c r="N164" s="20" t="s">
        <v>825</v>
      </c>
    </row>
    <row r="165" spans="1:14" hidden="1" x14ac:dyDescent="0.25">
      <c r="A165" t="s">
        <v>340</v>
      </c>
      <c r="B165">
        <v>525325</v>
      </c>
      <c r="C165" t="s">
        <v>341</v>
      </c>
      <c r="D165" t="s">
        <v>2</v>
      </c>
      <c r="E165">
        <v>2.31</v>
      </c>
      <c r="F165" s="3" t="s">
        <v>3</v>
      </c>
      <c r="G165" t="s">
        <v>786</v>
      </c>
      <c r="H165" s="4">
        <v>2.02</v>
      </c>
      <c r="I165" t="s">
        <v>787</v>
      </c>
      <c r="K165" s="20">
        <f>IF(C165="","",C165-((TRUNC((C165/1000000),0))*1000000))</f>
        <v>525325</v>
      </c>
      <c r="L165" s="20">
        <f ca="1">IF(A165="","",RANDBETWEEN(1,10))</f>
        <v>3</v>
      </c>
      <c r="M165" s="20" t="str">
        <f ca="1">IF(A165="","",IF(L165&lt;8,"calibracion","validacion"))</f>
        <v>calibracion</v>
      </c>
      <c r="N165" s="20" t="s">
        <v>825</v>
      </c>
    </row>
    <row r="166" spans="1:14" hidden="1" x14ac:dyDescent="0.25">
      <c r="A166" t="s">
        <v>342</v>
      </c>
      <c r="B166">
        <v>525329</v>
      </c>
      <c r="C166" t="s">
        <v>343</v>
      </c>
      <c r="D166" t="s">
        <v>2</v>
      </c>
      <c r="E166">
        <v>2.4700000000000002</v>
      </c>
      <c r="F166" s="3" t="s">
        <v>3</v>
      </c>
      <c r="G166" t="s">
        <v>786</v>
      </c>
      <c r="H166" s="4">
        <v>1.77</v>
      </c>
      <c r="I166" t="s">
        <v>787</v>
      </c>
      <c r="K166" s="20">
        <f>IF(C166="","",C166-((TRUNC((C166/1000000),0))*1000000))</f>
        <v>525329</v>
      </c>
      <c r="L166" s="20">
        <f ca="1">IF(A166="","",RANDBETWEEN(1,10))</f>
        <v>9</v>
      </c>
      <c r="M166" s="20" t="str">
        <f ca="1">IF(A166="","",IF(L166&lt;8,"calibracion","validacion"))</f>
        <v>validacion</v>
      </c>
      <c r="N166" s="20" t="s">
        <v>825</v>
      </c>
    </row>
    <row r="167" spans="1:14" hidden="1" x14ac:dyDescent="0.25">
      <c r="A167" t="s">
        <v>344</v>
      </c>
      <c r="B167">
        <v>719319</v>
      </c>
      <c r="C167" t="s">
        <v>345</v>
      </c>
      <c r="D167" t="s">
        <v>2</v>
      </c>
      <c r="E167">
        <v>6.11</v>
      </c>
      <c r="F167" s="3" t="s">
        <v>3</v>
      </c>
      <c r="G167" t="s">
        <v>786</v>
      </c>
      <c r="H167" s="4">
        <v>0.17</v>
      </c>
      <c r="I167" t="s">
        <v>787</v>
      </c>
      <c r="K167" s="20">
        <f>IF(C167="","",C167-((TRUNC((C167/1000000),0))*1000000))</f>
        <v>719319</v>
      </c>
      <c r="L167" s="20">
        <f ca="1">IF(A167="","",RANDBETWEEN(1,10))</f>
        <v>8</v>
      </c>
      <c r="M167" s="20" t="str">
        <f ca="1">IF(A167="","",IF(L167&lt;8,"calibracion","validacion"))</f>
        <v>validacion</v>
      </c>
      <c r="N167" s="20" t="s">
        <v>825</v>
      </c>
    </row>
    <row r="168" spans="1:14" hidden="1" x14ac:dyDescent="0.25">
      <c r="A168" t="s">
        <v>346</v>
      </c>
      <c r="B168">
        <v>748301</v>
      </c>
      <c r="C168" t="s">
        <v>347</v>
      </c>
      <c r="D168" t="s">
        <v>2</v>
      </c>
      <c r="E168">
        <v>1.84</v>
      </c>
      <c r="F168" s="3" t="s">
        <v>3</v>
      </c>
      <c r="G168" t="s">
        <v>786</v>
      </c>
      <c r="H168" s="4">
        <v>2.2799999999999998</v>
      </c>
      <c r="I168" t="s">
        <v>787</v>
      </c>
      <c r="K168" s="20">
        <f>IF(C168="","",C168-((TRUNC((C168/1000000),0))*1000000))</f>
        <v>748301</v>
      </c>
      <c r="L168" s="20">
        <f ca="1">IF(A168="","",RANDBETWEEN(1,10))</f>
        <v>3</v>
      </c>
      <c r="M168" s="20" t="str">
        <f ca="1">IF(A168="","",IF(L168&lt;8,"calibracion","validacion"))</f>
        <v>calibracion</v>
      </c>
      <c r="N168" s="20" t="s">
        <v>825</v>
      </c>
    </row>
    <row r="169" spans="1:14" hidden="1" x14ac:dyDescent="0.25">
      <c r="A169" t="s">
        <v>350</v>
      </c>
      <c r="B169">
        <v>748307</v>
      </c>
      <c r="C169" t="s">
        <v>351</v>
      </c>
      <c r="D169" t="s">
        <v>2</v>
      </c>
      <c r="E169">
        <v>3.1</v>
      </c>
      <c r="F169" s="3" t="s">
        <v>3</v>
      </c>
      <c r="G169" t="s">
        <v>786</v>
      </c>
      <c r="H169" s="4">
        <v>0.62</v>
      </c>
      <c r="I169" t="s">
        <v>796</v>
      </c>
      <c r="K169" s="20">
        <f>IF(C169="","",C169-((TRUNC((C169/1000000),0))*1000000))</f>
        <v>748307</v>
      </c>
      <c r="L169" s="20">
        <f ca="1">IF(A169="","",RANDBETWEEN(1,10))</f>
        <v>2</v>
      </c>
      <c r="M169" s="20" t="str">
        <f ca="1">IF(A169="","",IF(L169&lt;8,"calibracion","validacion"))</f>
        <v>calibracion</v>
      </c>
      <c r="N169" s="20" t="s">
        <v>825</v>
      </c>
    </row>
    <row r="170" spans="1:14" hidden="1" x14ac:dyDescent="0.25">
      <c r="A170" t="s">
        <v>352</v>
      </c>
      <c r="B170">
        <v>748309</v>
      </c>
      <c r="C170" t="s">
        <v>353</v>
      </c>
      <c r="D170" t="s">
        <v>2</v>
      </c>
      <c r="E170">
        <v>3.25</v>
      </c>
      <c r="F170" s="3" t="s">
        <v>3</v>
      </c>
      <c r="G170" t="s">
        <v>786</v>
      </c>
      <c r="H170" s="4">
        <v>0.47</v>
      </c>
      <c r="I170" t="s">
        <v>787</v>
      </c>
      <c r="K170" s="20">
        <f>IF(C170="","",C170-((TRUNC((C170/1000000),0))*1000000))</f>
        <v>748309</v>
      </c>
      <c r="L170" s="20">
        <f ca="1">IF(A170="","",RANDBETWEEN(1,10))</f>
        <v>1</v>
      </c>
      <c r="M170" s="20" t="str">
        <f ca="1">IF(A170="","",IF(L170&lt;8,"calibracion","validacion"))</f>
        <v>calibracion</v>
      </c>
      <c r="N170" s="20" t="s">
        <v>825</v>
      </c>
    </row>
    <row r="171" spans="1:14" hidden="1" x14ac:dyDescent="0.25">
      <c r="A171" t="s">
        <v>354</v>
      </c>
      <c r="B171">
        <v>748317</v>
      </c>
      <c r="C171" t="s">
        <v>355</v>
      </c>
      <c r="D171" t="s">
        <v>2</v>
      </c>
      <c r="E171">
        <v>2.67</v>
      </c>
      <c r="F171" s="3" t="s">
        <v>3</v>
      </c>
      <c r="G171" t="s">
        <v>786</v>
      </c>
      <c r="H171" s="4">
        <v>0.55000000000000004</v>
      </c>
      <c r="I171" t="s">
        <v>787</v>
      </c>
      <c r="K171" s="20">
        <f>IF(C171="","",C171-((TRUNC((C171/1000000),0))*1000000))</f>
        <v>748317</v>
      </c>
      <c r="L171" s="20">
        <f ca="1">IF(A171="","",RANDBETWEEN(1,10))</f>
        <v>10</v>
      </c>
      <c r="M171" s="20" t="str">
        <f ca="1">IF(A171="","",IF(L171&lt;8,"calibracion","validacion"))</f>
        <v>validacion</v>
      </c>
      <c r="N171" s="20" t="s">
        <v>825</v>
      </c>
    </row>
    <row r="172" spans="1:14" hidden="1" x14ac:dyDescent="0.25">
      <c r="A172" t="s">
        <v>356</v>
      </c>
      <c r="B172">
        <v>748318</v>
      </c>
      <c r="C172" t="s">
        <v>357</v>
      </c>
      <c r="D172" t="s">
        <v>2</v>
      </c>
      <c r="E172">
        <v>1.59</v>
      </c>
      <c r="F172" s="3" t="s">
        <v>3</v>
      </c>
      <c r="G172" t="s">
        <v>786</v>
      </c>
      <c r="H172" s="4">
        <v>0.61</v>
      </c>
      <c r="I172" t="s">
        <v>792</v>
      </c>
      <c r="K172" s="20">
        <f>IF(C172="","",C172-((TRUNC((C172/1000000),0))*1000000))</f>
        <v>748318</v>
      </c>
      <c r="L172" s="20">
        <f ca="1">IF(A172="","",RANDBETWEEN(1,10))</f>
        <v>6</v>
      </c>
      <c r="M172" s="20" t="str">
        <f ca="1">IF(A172="","",IF(L172&lt;8,"calibracion","validacion"))</f>
        <v>calibracion</v>
      </c>
      <c r="N172" s="20" t="s">
        <v>825</v>
      </c>
    </row>
    <row r="173" spans="1:14" hidden="1" x14ac:dyDescent="0.25">
      <c r="A173" t="s">
        <v>348</v>
      </c>
      <c r="B173">
        <v>748319</v>
      </c>
      <c r="C173" t="s">
        <v>349</v>
      </c>
      <c r="D173" t="s">
        <v>2</v>
      </c>
      <c r="E173">
        <v>3.7</v>
      </c>
      <c r="F173" s="3" t="s">
        <v>3</v>
      </c>
      <c r="G173" t="s">
        <v>786</v>
      </c>
      <c r="H173" s="4">
        <v>0.52</v>
      </c>
      <c r="I173" t="s">
        <v>787</v>
      </c>
      <c r="K173" s="20">
        <f>IF(C173="","",C173-((TRUNC((C173/1000000),0))*1000000))</f>
        <v>748319</v>
      </c>
      <c r="L173" s="20">
        <f ca="1">IF(A173="","",RANDBETWEEN(1,10))</f>
        <v>2</v>
      </c>
      <c r="M173" s="20" t="str">
        <f ca="1">IF(A173="","",IF(L173&lt;8,"calibracion","validacion"))</f>
        <v>calibracion</v>
      </c>
      <c r="N173" s="20" t="s">
        <v>825</v>
      </c>
    </row>
    <row r="174" spans="1:14" hidden="1" x14ac:dyDescent="0.25">
      <c r="A174" t="s">
        <v>358</v>
      </c>
      <c r="B174">
        <v>748321</v>
      </c>
      <c r="C174" t="s">
        <v>359</v>
      </c>
      <c r="D174" t="s">
        <v>2</v>
      </c>
      <c r="E174">
        <v>3.24</v>
      </c>
      <c r="F174" s="3" t="s">
        <v>3</v>
      </c>
      <c r="G174" t="s">
        <v>786</v>
      </c>
      <c r="H174" s="4">
        <v>0.49</v>
      </c>
      <c r="I174" t="s">
        <v>787</v>
      </c>
      <c r="K174" s="20">
        <f>IF(C174="","",C174-((TRUNC((C174/1000000),0))*1000000))</f>
        <v>748321</v>
      </c>
      <c r="L174" s="20">
        <f ca="1">IF(A174="","",RANDBETWEEN(1,10))</f>
        <v>10</v>
      </c>
      <c r="M174" s="20" t="str">
        <f ca="1">IF(A174="","",IF(L174&lt;8,"calibracion","validacion"))</f>
        <v>validacion</v>
      </c>
      <c r="N174" s="20" t="s">
        <v>825</v>
      </c>
    </row>
    <row r="175" spans="1:14" x14ac:dyDescent="0.25">
      <c r="A175" t="s">
        <v>360</v>
      </c>
      <c r="B175">
        <v>748323</v>
      </c>
      <c r="C175" t="s">
        <v>361</v>
      </c>
      <c r="D175" t="s">
        <v>2</v>
      </c>
      <c r="E175">
        <v>3.42</v>
      </c>
      <c r="F175" s="3" t="s">
        <v>3</v>
      </c>
      <c r="G175" t="s">
        <v>786</v>
      </c>
      <c r="H175" s="4">
        <v>0.75</v>
      </c>
      <c r="I175" t="s">
        <v>787</v>
      </c>
      <c r="K175" s="20">
        <f>IF(C175="","",C175-((TRUNC((C175/1000000),0))*1000000))</f>
        <v>748323</v>
      </c>
      <c r="L175" s="20">
        <f ca="1">IF(A175="","",RANDBETWEEN(1,10))</f>
        <v>1</v>
      </c>
      <c r="M175" s="20" t="str">
        <f ca="1">IF(A175="","",IF(L175&lt;8,"calibracion","validacion"))</f>
        <v>calibracion</v>
      </c>
      <c r="N175" s="20" t="s">
        <v>824</v>
      </c>
    </row>
    <row r="176" spans="1:14" x14ac:dyDescent="0.25">
      <c r="A176" t="s">
        <v>362</v>
      </c>
      <c r="B176">
        <v>748324</v>
      </c>
      <c r="C176" t="s">
        <v>363</v>
      </c>
      <c r="D176" t="s">
        <v>2</v>
      </c>
      <c r="E176">
        <v>3.1</v>
      </c>
      <c r="F176" s="3" t="s">
        <v>3</v>
      </c>
      <c r="G176" t="s">
        <v>786</v>
      </c>
      <c r="H176" s="4">
        <v>1.53</v>
      </c>
      <c r="I176" t="s">
        <v>787</v>
      </c>
      <c r="K176" s="20">
        <f>IF(C176="","",C176-((TRUNC((C176/1000000),0))*1000000))</f>
        <v>748324</v>
      </c>
      <c r="L176" s="20">
        <f ca="1">IF(A176="","",RANDBETWEEN(1,10))</f>
        <v>5</v>
      </c>
      <c r="M176" s="20" t="str">
        <f ca="1">IF(A176="","",IF(L176&lt;8,"calibracion","validacion"))</f>
        <v>calibracion</v>
      </c>
      <c r="N176" s="20" t="s">
        <v>824</v>
      </c>
    </row>
    <row r="177" spans="1:14" hidden="1" x14ac:dyDescent="0.25">
      <c r="A177" t="s">
        <v>364</v>
      </c>
      <c r="B177">
        <v>748326</v>
      </c>
      <c r="C177" t="s">
        <v>365</v>
      </c>
      <c r="D177" t="s">
        <v>2</v>
      </c>
      <c r="E177">
        <v>3.02</v>
      </c>
      <c r="F177" s="3" t="s">
        <v>3</v>
      </c>
      <c r="G177" t="s">
        <v>786</v>
      </c>
      <c r="H177" s="4">
        <v>0.57999999999999996</v>
      </c>
      <c r="I177" t="s">
        <v>787</v>
      </c>
      <c r="K177" s="20">
        <f>IF(C177="","",C177-((TRUNC((C177/1000000),0))*1000000))</f>
        <v>748326</v>
      </c>
      <c r="L177" s="20">
        <f ca="1">IF(A177="","",RANDBETWEEN(1,10))</f>
        <v>7</v>
      </c>
      <c r="M177" s="20" t="str">
        <f ca="1">IF(A177="","",IF(L177&lt;8,"calibracion","validacion"))</f>
        <v>calibracion</v>
      </c>
      <c r="N177" s="20" t="s">
        <v>825</v>
      </c>
    </row>
    <row r="178" spans="1:14" hidden="1" x14ac:dyDescent="0.25">
      <c r="A178" t="s">
        <v>368</v>
      </c>
      <c r="B178">
        <v>748331</v>
      </c>
      <c r="C178" t="s">
        <v>369</v>
      </c>
      <c r="D178" t="s">
        <v>2</v>
      </c>
      <c r="E178">
        <v>2.78</v>
      </c>
      <c r="F178" s="3" t="s">
        <v>3</v>
      </c>
      <c r="G178" t="s">
        <v>786</v>
      </c>
      <c r="H178" s="4">
        <v>0.92</v>
      </c>
      <c r="I178" t="s">
        <v>787</v>
      </c>
      <c r="K178" s="20">
        <f>IF(C178="","",C178-((TRUNC((C178/1000000),0))*1000000))</f>
        <v>748331</v>
      </c>
      <c r="L178" s="20">
        <f ca="1">IF(A178="","",RANDBETWEEN(1,10))</f>
        <v>6</v>
      </c>
      <c r="M178" s="20" t="str">
        <f ca="1">IF(A178="","",IF(L178&lt;8,"calibracion","validacion"))</f>
        <v>calibracion</v>
      </c>
      <c r="N178" s="20" t="s">
        <v>825</v>
      </c>
    </row>
    <row r="179" spans="1:14" hidden="1" x14ac:dyDescent="0.25">
      <c r="A179" t="s">
        <v>370</v>
      </c>
      <c r="B179">
        <v>748334</v>
      </c>
      <c r="C179" t="s">
        <v>371</v>
      </c>
      <c r="D179" t="s">
        <v>2</v>
      </c>
      <c r="E179">
        <v>2.9</v>
      </c>
      <c r="F179" s="3" t="s">
        <v>3</v>
      </c>
      <c r="G179" t="s">
        <v>786</v>
      </c>
      <c r="H179" s="4">
        <v>0.8</v>
      </c>
      <c r="I179" t="s">
        <v>787</v>
      </c>
      <c r="K179" s="20">
        <f>IF(C179="","",C179-((TRUNC((C179/1000000),0))*1000000))</f>
        <v>748334</v>
      </c>
      <c r="L179" s="20">
        <f ca="1">IF(A179="","",RANDBETWEEN(1,10))</f>
        <v>2</v>
      </c>
      <c r="M179" s="20" t="str">
        <f ca="1">IF(A179="","",IF(L179&lt;8,"calibracion","validacion"))</f>
        <v>calibracion</v>
      </c>
      <c r="N179" s="20" t="s">
        <v>825</v>
      </c>
    </row>
    <row r="180" spans="1:14" hidden="1" x14ac:dyDescent="0.25">
      <c r="A180" t="s">
        <v>372</v>
      </c>
      <c r="B180">
        <v>748335</v>
      </c>
      <c r="C180" t="s">
        <v>373</v>
      </c>
      <c r="D180" t="s">
        <v>2</v>
      </c>
      <c r="E180">
        <v>2.99</v>
      </c>
      <c r="F180" s="3" t="s">
        <v>3</v>
      </c>
      <c r="G180" t="s">
        <v>786</v>
      </c>
      <c r="H180" s="4">
        <v>0.84</v>
      </c>
      <c r="I180" t="s">
        <v>787</v>
      </c>
      <c r="K180" s="20">
        <f>IF(C180="","",C180-((TRUNC((C180/1000000),0))*1000000))</f>
        <v>748335</v>
      </c>
      <c r="L180" s="20">
        <f ca="1">IF(A180="","",RANDBETWEEN(1,10))</f>
        <v>5</v>
      </c>
      <c r="M180" s="20" t="str">
        <f ca="1">IF(A180="","",IF(L180&lt;8,"calibracion","validacion"))</f>
        <v>calibracion</v>
      </c>
      <c r="N180" s="20" t="s">
        <v>825</v>
      </c>
    </row>
    <row r="181" spans="1:14" x14ac:dyDescent="0.25">
      <c r="A181" t="s">
        <v>374</v>
      </c>
      <c r="B181">
        <v>748340</v>
      </c>
      <c r="C181" t="s">
        <v>375</v>
      </c>
      <c r="D181" t="s">
        <v>2</v>
      </c>
      <c r="E181">
        <v>3.59</v>
      </c>
      <c r="F181" s="3" t="s">
        <v>3</v>
      </c>
      <c r="G181" t="s">
        <v>786</v>
      </c>
      <c r="H181" s="4">
        <v>0.48</v>
      </c>
      <c r="I181" t="s">
        <v>787</v>
      </c>
      <c r="K181" s="20">
        <f>IF(C181="","",C181-((TRUNC((C181/1000000),0))*1000000))</f>
        <v>748340</v>
      </c>
      <c r="L181" s="20">
        <f ca="1">IF(A181="","",RANDBETWEEN(1,10))</f>
        <v>9</v>
      </c>
      <c r="M181" s="20" t="str">
        <f ca="1">IF(A181="","",IF(L181&lt;8,"calibracion","validacion"))</f>
        <v>validacion</v>
      </c>
      <c r="N181" s="20" t="s">
        <v>824</v>
      </c>
    </row>
    <row r="182" spans="1:14" hidden="1" x14ac:dyDescent="0.25">
      <c r="A182" t="s">
        <v>376</v>
      </c>
      <c r="B182">
        <v>749301</v>
      </c>
      <c r="C182" t="s">
        <v>377</v>
      </c>
      <c r="D182" t="s">
        <v>2</v>
      </c>
      <c r="E182">
        <v>3.7</v>
      </c>
      <c r="F182" s="3" t="s">
        <v>3</v>
      </c>
      <c r="G182" t="s">
        <v>786</v>
      </c>
      <c r="H182" s="4">
        <v>0.96</v>
      </c>
      <c r="I182" t="s">
        <v>787</v>
      </c>
      <c r="K182" s="20">
        <f>IF(C182="","",C182-((TRUNC((C182/1000000),0))*1000000))</f>
        <v>749301</v>
      </c>
      <c r="L182" s="20">
        <f ca="1">IF(A182="","",RANDBETWEEN(1,10))</f>
        <v>9</v>
      </c>
      <c r="M182" s="20" t="str">
        <f ca="1">IF(A182="","",IF(L182&lt;8,"calibracion","validacion"))</f>
        <v>validacion</v>
      </c>
      <c r="N182" s="20" t="s">
        <v>825</v>
      </c>
    </row>
    <row r="183" spans="1:14" hidden="1" x14ac:dyDescent="0.25">
      <c r="A183" t="s">
        <v>378</v>
      </c>
      <c r="B183">
        <v>749302</v>
      </c>
      <c r="C183" t="s">
        <v>379</v>
      </c>
      <c r="D183" t="s">
        <v>2</v>
      </c>
      <c r="E183">
        <v>3.45</v>
      </c>
      <c r="F183" s="3" t="s">
        <v>3</v>
      </c>
      <c r="G183" t="s">
        <v>786</v>
      </c>
      <c r="H183" s="4">
        <v>0.63</v>
      </c>
      <c r="I183" t="s">
        <v>787</v>
      </c>
      <c r="K183" s="20">
        <f>IF(C183="","",C183-((TRUNC((C183/1000000),0))*1000000))</f>
        <v>749302</v>
      </c>
      <c r="L183" s="20">
        <f ca="1">IF(A183="","",RANDBETWEEN(1,10))</f>
        <v>6</v>
      </c>
      <c r="M183" s="20" t="str">
        <f ca="1">IF(A183="","",IF(L183&lt;8,"calibracion","validacion"))</f>
        <v>calibracion</v>
      </c>
      <c r="N183" s="20" t="s">
        <v>825</v>
      </c>
    </row>
    <row r="184" spans="1:14" x14ac:dyDescent="0.25">
      <c r="A184" t="s">
        <v>382</v>
      </c>
      <c r="B184">
        <v>749305</v>
      </c>
      <c r="C184" t="s">
        <v>383</v>
      </c>
      <c r="D184" t="s">
        <v>2</v>
      </c>
      <c r="E184">
        <v>3.15</v>
      </c>
      <c r="F184" s="3" t="s">
        <v>3</v>
      </c>
      <c r="G184" t="s">
        <v>786</v>
      </c>
      <c r="H184" s="4">
        <v>2.34</v>
      </c>
      <c r="I184" t="s">
        <v>787</v>
      </c>
      <c r="K184" s="20">
        <f>IF(C184="","",C184-((TRUNC((C184/1000000),0))*1000000))</f>
        <v>749305</v>
      </c>
      <c r="L184" s="20">
        <f ca="1">IF(A184="","",RANDBETWEEN(1,10))</f>
        <v>10</v>
      </c>
      <c r="M184" s="20" t="str">
        <f ca="1">IF(A184="","",IF(L184&lt;8,"calibracion","validacion"))</f>
        <v>validacion</v>
      </c>
      <c r="N184" s="20" t="s">
        <v>824</v>
      </c>
    </row>
    <row r="185" spans="1:14" hidden="1" x14ac:dyDescent="0.25">
      <c r="A185" t="s">
        <v>380</v>
      </c>
      <c r="B185">
        <v>749309</v>
      </c>
      <c r="C185" t="s">
        <v>381</v>
      </c>
      <c r="D185" t="s">
        <v>2</v>
      </c>
      <c r="E185">
        <v>1.98</v>
      </c>
      <c r="F185" s="3" t="s">
        <v>3</v>
      </c>
      <c r="G185" t="s">
        <v>786</v>
      </c>
      <c r="H185" s="4">
        <v>1.83</v>
      </c>
      <c r="I185" t="s">
        <v>787</v>
      </c>
      <c r="K185" s="20">
        <f>IF(C185="","",C185-((TRUNC((C185/1000000),0))*1000000))</f>
        <v>749309</v>
      </c>
      <c r="L185" s="20">
        <f ca="1">IF(A185="","",RANDBETWEEN(1,10))</f>
        <v>5</v>
      </c>
      <c r="M185" s="20" t="str">
        <f ca="1">IF(A185="","",IF(L185&lt;8,"calibracion","validacion"))</f>
        <v>calibracion</v>
      </c>
      <c r="N185" s="20" t="s">
        <v>825</v>
      </c>
    </row>
    <row r="186" spans="1:14" x14ac:dyDescent="0.25">
      <c r="A186" t="s">
        <v>384</v>
      </c>
      <c r="B186">
        <v>749310</v>
      </c>
      <c r="C186" t="s">
        <v>385</v>
      </c>
      <c r="D186" t="s">
        <v>2</v>
      </c>
      <c r="E186">
        <v>2.96</v>
      </c>
      <c r="F186" s="3" t="s">
        <v>3</v>
      </c>
      <c r="G186" t="s">
        <v>786</v>
      </c>
      <c r="H186" s="4">
        <v>0.92</v>
      </c>
      <c r="I186" t="s">
        <v>787</v>
      </c>
      <c r="K186" s="20">
        <f>IF(C186="","",C186-((TRUNC((C186/1000000),0))*1000000))</f>
        <v>749310</v>
      </c>
      <c r="L186" s="20">
        <f ca="1">IF(A186="","",RANDBETWEEN(1,10))</f>
        <v>1</v>
      </c>
      <c r="M186" s="20" t="str">
        <f ca="1">IF(A186="","",IF(L186&lt;8,"calibracion","validacion"))</f>
        <v>calibracion</v>
      </c>
      <c r="N186" s="20" t="s">
        <v>824</v>
      </c>
    </row>
    <row r="187" spans="1:14" x14ac:dyDescent="0.25">
      <c r="A187" t="s">
        <v>388</v>
      </c>
      <c r="B187">
        <v>749314</v>
      </c>
      <c r="C187" t="s">
        <v>389</v>
      </c>
      <c r="D187" t="s">
        <v>2</v>
      </c>
      <c r="E187">
        <v>5.26</v>
      </c>
      <c r="F187" s="3" t="s">
        <v>3</v>
      </c>
      <c r="G187" t="s">
        <v>786</v>
      </c>
      <c r="H187" s="4">
        <v>1.07</v>
      </c>
      <c r="I187" t="s">
        <v>787</v>
      </c>
      <c r="K187" s="20">
        <f>IF(C187="","",C187-((TRUNC((C187/1000000),0))*1000000))</f>
        <v>749314</v>
      </c>
      <c r="L187" s="20">
        <f ca="1">IF(A187="","",RANDBETWEEN(1,10))</f>
        <v>1</v>
      </c>
      <c r="M187" s="20" t="str">
        <f ca="1">IF(A187="","",IF(L187&lt;8,"calibracion","validacion"))</f>
        <v>calibracion</v>
      </c>
      <c r="N187" s="20" t="s">
        <v>824</v>
      </c>
    </row>
    <row r="188" spans="1:14" x14ac:dyDescent="0.25">
      <c r="A188" t="s">
        <v>386</v>
      </c>
      <c r="B188">
        <v>749317</v>
      </c>
      <c r="C188" t="s">
        <v>387</v>
      </c>
      <c r="D188" t="s">
        <v>2</v>
      </c>
      <c r="E188">
        <v>3.24</v>
      </c>
      <c r="F188" s="3" t="s">
        <v>3</v>
      </c>
      <c r="G188" t="s">
        <v>786</v>
      </c>
      <c r="H188" s="4">
        <v>0.43</v>
      </c>
      <c r="I188" t="s">
        <v>787</v>
      </c>
      <c r="K188" s="20">
        <f>IF(C188="","",C188-((TRUNC((C188/1000000),0))*1000000))</f>
        <v>749317</v>
      </c>
      <c r="L188" s="20">
        <f ca="1">IF(A188="","",RANDBETWEEN(1,10))</f>
        <v>8</v>
      </c>
      <c r="M188" s="20" t="str">
        <f ca="1">IF(A188="","",IF(L188&lt;8,"calibracion","validacion"))</f>
        <v>validacion</v>
      </c>
      <c r="N188" s="20" t="s">
        <v>824</v>
      </c>
    </row>
    <row r="189" spans="1:14" hidden="1" x14ac:dyDescent="0.25">
      <c r="A189" t="s">
        <v>392</v>
      </c>
      <c r="B189">
        <v>749323</v>
      </c>
      <c r="C189" t="s">
        <v>393</v>
      </c>
      <c r="D189" t="s">
        <v>2</v>
      </c>
      <c r="E189">
        <v>6.83</v>
      </c>
      <c r="F189" s="3" t="s">
        <v>3</v>
      </c>
      <c r="G189" t="s">
        <v>786</v>
      </c>
      <c r="H189" s="4">
        <v>0.64</v>
      </c>
      <c r="I189" t="s">
        <v>787</v>
      </c>
      <c r="K189" s="20">
        <f>IF(C189="","",C189-((TRUNC((C189/1000000),0))*1000000))</f>
        <v>749323</v>
      </c>
      <c r="L189" s="20">
        <f ca="1">IF(A189="","",RANDBETWEEN(1,10))</f>
        <v>9</v>
      </c>
      <c r="M189" s="20" t="str">
        <f ca="1">IF(A189="","",IF(L189&lt;8,"calibracion","validacion"))</f>
        <v>validacion</v>
      </c>
      <c r="N189" s="20" t="s">
        <v>825</v>
      </c>
    </row>
    <row r="190" spans="1:14" hidden="1" x14ac:dyDescent="0.25">
      <c r="A190" t="s">
        <v>394</v>
      </c>
      <c r="B190">
        <v>749329</v>
      </c>
      <c r="C190" t="s">
        <v>395</v>
      </c>
      <c r="D190" t="s">
        <v>2</v>
      </c>
      <c r="E190">
        <v>3.11</v>
      </c>
      <c r="F190" s="3" t="s">
        <v>3</v>
      </c>
      <c r="G190" t="s">
        <v>786</v>
      </c>
      <c r="H190" s="4">
        <v>0.38</v>
      </c>
      <c r="I190" t="s">
        <v>787</v>
      </c>
      <c r="K190" s="20">
        <f>IF(C190="","",C190-((TRUNC((C190/1000000),0))*1000000))</f>
        <v>749329</v>
      </c>
      <c r="L190" s="20">
        <f ca="1">IF(A190="","",RANDBETWEEN(1,10))</f>
        <v>5</v>
      </c>
      <c r="M190" s="20" t="str">
        <f ca="1">IF(A190="","",IF(L190&lt;8,"calibracion","validacion"))</f>
        <v>calibracion</v>
      </c>
      <c r="N190" s="20" t="s">
        <v>825</v>
      </c>
    </row>
    <row r="191" spans="1:14" x14ac:dyDescent="0.25">
      <c r="A191" t="s">
        <v>396</v>
      </c>
      <c r="B191">
        <v>749330</v>
      </c>
      <c r="C191" t="s">
        <v>397</v>
      </c>
      <c r="D191" t="s">
        <v>2</v>
      </c>
      <c r="E191">
        <v>3.85</v>
      </c>
      <c r="F191" s="3" t="s">
        <v>3</v>
      </c>
      <c r="G191" t="s">
        <v>786</v>
      </c>
      <c r="H191" s="4">
        <v>1.97</v>
      </c>
      <c r="I191" t="s">
        <v>787</v>
      </c>
      <c r="K191" s="20">
        <f>IF(C191="","",C191-((TRUNC((C191/1000000),0))*1000000))</f>
        <v>749330</v>
      </c>
      <c r="L191" s="20">
        <f ca="1">IF(A191="","",RANDBETWEEN(1,10))</f>
        <v>5</v>
      </c>
      <c r="M191" s="20" t="str">
        <f ca="1">IF(A191="","",IF(L191&lt;8,"calibracion","validacion"))</f>
        <v>calibracion</v>
      </c>
      <c r="N191" s="20" t="s">
        <v>824</v>
      </c>
    </row>
    <row r="192" spans="1:14" x14ac:dyDescent="0.25">
      <c r="A192" t="s">
        <v>398</v>
      </c>
      <c r="B192">
        <v>809328</v>
      </c>
      <c r="C192" t="s">
        <v>399</v>
      </c>
      <c r="D192" t="s">
        <v>2</v>
      </c>
      <c r="E192">
        <v>3.7</v>
      </c>
      <c r="F192" s="3" t="s">
        <v>3</v>
      </c>
      <c r="G192" t="s">
        <v>786</v>
      </c>
      <c r="H192" s="4">
        <v>0.11</v>
      </c>
      <c r="I192" t="s">
        <v>787</v>
      </c>
      <c r="K192" s="20">
        <f>IF(C192="","",C192-((TRUNC((C192/1000000),0))*1000000))</f>
        <v>809328</v>
      </c>
      <c r="L192" s="20">
        <f ca="1">IF(A192="","",RANDBETWEEN(1,10))</f>
        <v>8</v>
      </c>
      <c r="M192" s="20" t="str">
        <f ca="1">IF(A192="","",IF(L192&lt;8,"calibracion","validacion"))</f>
        <v>validacion</v>
      </c>
      <c r="N192" s="20" t="s">
        <v>824</v>
      </c>
    </row>
    <row r="193" spans="1:14" x14ac:dyDescent="0.25">
      <c r="A193" t="s">
        <v>400</v>
      </c>
      <c r="B193">
        <v>813308</v>
      </c>
      <c r="C193" t="s">
        <v>401</v>
      </c>
      <c r="D193" t="s">
        <v>2</v>
      </c>
      <c r="E193">
        <v>3.55</v>
      </c>
      <c r="F193" s="3" t="s">
        <v>3</v>
      </c>
      <c r="G193" t="s">
        <v>786</v>
      </c>
      <c r="H193" s="4">
        <v>0.1</v>
      </c>
      <c r="I193" t="s">
        <v>787</v>
      </c>
      <c r="K193" s="20">
        <f>IF(C193="","",C193-((TRUNC((C193/1000000),0))*1000000))</f>
        <v>813308</v>
      </c>
      <c r="L193" s="20">
        <f ca="1">IF(A193="","",RANDBETWEEN(1,10))</f>
        <v>2</v>
      </c>
      <c r="M193" s="20" t="str">
        <f ca="1">IF(A193="","",IF(L193&lt;8,"calibracion","validacion"))</f>
        <v>calibracion</v>
      </c>
      <c r="N193" s="20" t="s">
        <v>824</v>
      </c>
    </row>
    <row r="194" spans="1:14" hidden="1" x14ac:dyDescent="0.25">
      <c r="A194" t="s">
        <v>402</v>
      </c>
      <c r="B194">
        <v>125317</v>
      </c>
      <c r="C194" t="s">
        <v>403</v>
      </c>
      <c r="D194" t="s">
        <v>2</v>
      </c>
      <c r="E194">
        <v>2.95</v>
      </c>
      <c r="F194" s="3" t="s">
        <v>3</v>
      </c>
      <c r="G194" t="s">
        <v>786</v>
      </c>
      <c r="H194" s="4">
        <v>2.4900000000000002</v>
      </c>
      <c r="I194" t="s">
        <v>787</v>
      </c>
      <c r="K194" s="20">
        <f>IF(C194="","",C194-((TRUNC((C194/1000000),0))*1000000))</f>
        <v>125317</v>
      </c>
      <c r="L194" s="20">
        <f ca="1">IF(A194="","",RANDBETWEEN(1,10))</f>
        <v>10</v>
      </c>
      <c r="M194" s="20" t="str">
        <f ca="1">IF(A194="","",IF(L194&lt;8,"calibracion","validacion"))</f>
        <v>validacion</v>
      </c>
      <c r="N194" s="20" t="s">
        <v>825</v>
      </c>
    </row>
    <row r="195" spans="1:14" hidden="1" x14ac:dyDescent="0.25">
      <c r="A195" t="s">
        <v>404</v>
      </c>
      <c r="B195">
        <v>125318</v>
      </c>
      <c r="C195" t="s">
        <v>405</v>
      </c>
      <c r="D195" t="s">
        <v>2</v>
      </c>
      <c r="E195">
        <v>3.43</v>
      </c>
      <c r="F195" s="3" t="s">
        <v>3</v>
      </c>
      <c r="G195" t="s">
        <v>786</v>
      </c>
      <c r="H195" s="4">
        <v>0.5</v>
      </c>
      <c r="I195" t="s">
        <v>787</v>
      </c>
      <c r="K195" s="20">
        <f>IF(C195="","",C195-((TRUNC((C195/1000000),0))*1000000))</f>
        <v>125318</v>
      </c>
      <c r="L195" s="20">
        <f ca="1">IF(A195="","",RANDBETWEEN(1,10))</f>
        <v>6</v>
      </c>
      <c r="M195" s="20" t="str">
        <f ca="1">IF(A195="","",IF(L195&lt;8,"calibracion","validacion"))</f>
        <v>calibracion</v>
      </c>
      <c r="N195" s="20" t="s">
        <v>825</v>
      </c>
    </row>
    <row r="196" spans="1:14" hidden="1" x14ac:dyDescent="0.25">
      <c r="A196" t="s">
        <v>408</v>
      </c>
      <c r="B196">
        <v>125322</v>
      </c>
      <c r="C196" t="s">
        <v>409</v>
      </c>
      <c r="D196" t="s">
        <v>2</v>
      </c>
      <c r="E196">
        <v>3.48</v>
      </c>
      <c r="F196" s="3" t="s">
        <v>3</v>
      </c>
      <c r="G196" t="s">
        <v>786</v>
      </c>
      <c r="H196" s="4">
        <v>0.59</v>
      </c>
      <c r="I196" t="s">
        <v>787</v>
      </c>
      <c r="K196" s="20">
        <f>IF(C196="","",C196-((TRUNC((C196/1000000),0))*1000000))</f>
        <v>125322</v>
      </c>
      <c r="L196" s="20">
        <f ca="1">IF(A196="","",RANDBETWEEN(1,10))</f>
        <v>9</v>
      </c>
      <c r="M196" s="20" t="str">
        <f ca="1">IF(A196="","",IF(L196&lt;8,"calibracion","validacion"))</f>
        <v>validacion</v>
      </c>
      <c r="N196" s="20" t="s">
        <v>825</v>
      </c>
    </row>
    <row r="197" spans="1:14" hidden="1" x14ac:dyDescent="0.25">
      <c r="A197" t="s">
        <v>410</v>
      </c>
      <c r="B197">
        <v>125325</v>
      </c>
      <c r="C197" t="s">
        <v>411</v>
      </c>
      <c r="D197" t="s">
        <v>2</v>
      </c>
      <c r="E197">
        <v>3.1</v>
      </c>
      <c r="F197" s="3" t="s">
        <v>3</v>
      </c>
      <c r="G197" t="s">
        <v>786</v>
      </c>
      <c r="H197" s="4">
        <v>0.55000000000000004</v>
      </c>
      <c r="I197" t="s">
        <v>787</v>
      </c>
      <c r="K197" s="20">
        <f>IF(C197="","",C197-((TRUNC((C197/1000000),0))*1000000))</f>
        <v>125325</v>
      </c>
      <c r="L197" s="20">
        <f ca="1">IF(A197="","",RANDBETWEEN(1,10))</f>
        <v>9</v>
      </c>
      <c r="M197" s="20" t="str">
        <f ca="1">IF(A197="","",IF(L197&lt;8,"calibracion","validacion"))</f>
        <v>validacion</v>
      </c>
      <c r="N197" s="20" t="s">
        <v>825</v>
      </c>
    </row>
    <row r="198" spans="1:14" hidden="1" x14ac:dyDescent="0.25">
      <c r="A198" t="s">
        <v>412</v>
      </c>
      <c r="B198">
        <v>125327</v>
      </c>
      <c r="C198" t="s">
        <v>413</v>
      </c>
      <c r="D198" t="s">
        <v>2</v>
      </c>
      <c r="E198">
        <v>2.59</v>
      </c>
      <c r="F198" s="3" t="s">
        <v>3</v>
      </c>
      <c r="G198" t="s">
        <v>786</v>
      </c>
      <c r="H198" s="4">
        <v>1.99</v>
      </c>
      <c r="I198" t="s">
        <v>787</v>
      </c>
      <c r="K198" s="20">
        <f>IF(C198="","",C198-((TRUNC((C198/1000000),0))*1000000))</f>
        <v>125327</v>
      </c>
      <c r="L198" s="20">
        <f ca="1">IF(A198="","",RANDBETWEEN(1,10))</f>
        <v>9</v>
      </c>
      <c r="M198" s="20" t="str">
        <f ca="1">IF(A198="","",IF(L198&lt;8,"calibracion","validacion"))</f>
        <v>validacion</v>
      </c>
      <c r="N198" s="20" t="s">
        <v>825</v>
      </c>
    </row>
    <row r="199" spans="1:14" hidden="1" x14ac:dyDescent="0.25">
      <c r="A199" t="s">
        <v>406</v>
      </c>
      <c r="B199">
        <v>125328</v>
      </c>
      <c r="C199" t="s">
        <v>407</v>
      </c>
      <c r="D199" t="s">
        <v>2</v>
      </c>
      <c r="E199">
        <v>3.91</v>
      </c>
      <c r="F199" s="3" t="s">
        <v>3</v>
      </c>
      <c r="G199" t="s">
        <v>786</v>
      </c>
      <c r="H199" s="4">
        <v>0.67</v>
      </c>
      <c r="I199" t="s">
        <v>787</v>
      </c>
      <c r="K199" s="20">
        <f>IF(C199="","",C199-((TRUNC((C199/1000000),0))*1000000))</f>
        <v>125328</v>
      </c>
      <c r="L199" s="20">
        <f ca="1">IF(A199="","",RANDBETWEEN(1,10))</f>
        <v>9</v>
      </c>
      <c r="M199" s="20" t="str">
        <f ca="1">IF(A199="","",IF(L199&lt;8,"calibracion","validacion"))</f>
        <v>validacion</v>
      </c>
      <c r="N199" s="20" t="s">
        <v>825</v>
      </c>
    </row>
    <row r="200" spans="1:14" x14ac:dyDescent="0.25">
      <c r="A200" t="s">
        <v>414</v>
      </c>
      <c r="B200">
        <v>125330</v>
      </c>
      <c r="C200" t="s">
        <v>415</v>
      </c>
      <c r="D200" t="s">
        <v>2</v>
      </c>
      <c r="E200">
        <v>3.25</v>
      </c>
      <c r="F200" s="3" t="s">
        <v>3</v>
      </c>
      <c r="G200" t="s">
        <v>786</v>
      </c>
      <c r="H200" s="4">
        <v>0.68</v>
      </c>
      <c r="I200" t="s">
        <v>787</v>
      </c>
      <c r="K200" s="20">
        <f>IF(C200="","",C200-((TRUNC((C200/1000000),0))*1000000))</f>
        <v>125330</v>
      </c>
      <c r="L200" s="20">
        <f ca="1">IF(A200="","",RANDBETWEEN(1,10))</f>
        <v>9</v>
      </c>
      <c r="M200" s="20" t="str">
        <f ca="1">IF(A200="","",IF(L200&lt;8,"calibracion","validacion"))</f>
        <v>validacion</v>
      </c>
      <c r="N200" s="20" t="s">
        <v>824</v>
      </c>
    </row>
    <row r="201" spans="1:14" hidden="1" x14ac:dyDescent="0.25">
      <c r="A201" t="s">
        <v>416</v>
      </c>
      <c r="B201">
        <v>125331</v>
      </c>
      <c r="C201" t="s">
        <v>417</v>
      </c>
      <c r="D201" t="s">
        <v>2</v>
      </c>
      <c r="E201">
        <v>3.72</v>
      </c>
      <c r="F201" s="3" t="s">
        <v>3</v>
      </c>
      <c r="G201" t="s">
        <v>786</v>
      </c>
      <c r="H201" s="4">
        <v>0.46</v>
      </c>
      <c r="I201" t="s">
        <v>787</v>
      </c>
      <c r="K201" s="20">
        <f>IF(C201="","",C201-((TRUNC((C201/1000000),0))*1000000))</f>
        <v>125331</v>
      </c>
      <c r="L201" s="20">
        <f ca="1">IF(A201="","",RANDBETWEEN(1,10))</f>
        <v>6</v>
      </c>
      <c r="M201" s="20" t="str">
        <f ca="1">IF(A201="","",IF(L201&lt;8,"calibracion","validacion"))</f>
        <v>calibracion</v>
      </c>
      <c r="N201" s="20" t="s">
        <v>825</v>
      </c>
    </row>
    <row r="202" spans="1:14" hidden="1" x14ac:dyDescent="0.25">
      <c r="A202" t="s">
        <v>418</v>
      </c>
      <c r="B202">
        <v>125333</v>
      </c>
      <c r="C202" t="s">
        <v>419</v>
      </c>
      <c r="D202" t="s">
        <v>2</v>
      </c>
      <c r="E202">
        <v>3.24</v>
      </c>
      <c r="F202" s="3" t="s">
        <v>3</v>
      </c>
      <c r="G202" t="s">
        <v>786</v>
      </c>
      <c r="H202" s="4">
        <v>1.84</v>
      </c>
      <c r="I202" t="s">
        <v>787</v>
      </c>
      <c r="K202" s="20">
        <f>IF(C202="","",C202-((TRUNC((C202/1000000),0))*1000000))</f>
        <v>125333</v>
      </c>
      <c r="L202" s="20">
        <f ca="1">IF(A202="","",RANDBETWEEN(1,10))</f>
        <v>4</v>
      </c>
      <c r="M202" s="20" t="str">
        <f ca="1">IF(A202="","",IF(L202&lt;8,"calibracion","validacion"))</f>
        <v>calibracion</v>
      </c>
      <c r="N202" s="20" t="s">
        <v>825</v>
      </c>
    </row>
    <row r="203" spans="1:14" hidden="1" x14ac:dyDescent="0.25">
      <c r="A203" t="s">
        <v>420</v>
      </c>
      <c r="B203">
        <v>125334</v>
      </c>
      <c r="C203" t="s">
        <v>421</v>
      </c>
      <c r="D203" t="s">
        <v>2</v>
      </c>
      <c r="E203">
        <v>4.09</v>
      </c>
      <c r="F203" s="3" t="s">
        <v>3</v>
      </c>
      <c r="G203" t="s">
        <v>786</v>
      </c>
      <c r="H203" s="4">
        <v>0.49</v>
      </c>
      <c r="I203" t="s">
        <v>787</v>
      </c>
      <c r="K203" s="20">
        <f>IF(C203="","",C203-((TRUNC((C203/1000000),0))*1000000))</f>
        <v>125334</v>
      </c>
      <c r="L203" s="20">
        <f ca="1">IF(A203="","",RANDBETWEEN(1,10))</f>
        <v>6</v>
      </c>
      <c r="M203" s="20" t="str">
        <f ca="1">IF(A203="","",IF(L203&lt;8,"calibracion","validacion"))</f>
        <v>calibracion</v>
      </c>
      <c r="N203" s="20" t="s">
        <v>825</v>
      </c>
    </row>
    <row r="204" spans="1:14" x14ac:dyDescent="0.25">
      <c r="A204" t="s">
        <v>422</v>
      </c>
      <c r="B204">
        <v>128304</v>
      </c>
      <c r="C204" t="s">
        <v>423</v>
      </c>
      <c r="D204" t="s">
        <v>2</v>
      </c>
      <c r="E204">
        <v>3.46</v>
      </c>
      <c r="F204" s="3" t="s">
        <v>3</v>
      </c>
      <c r="G204" t="s">
        <v>786</v>
      </c>
      <c r="H204" s="4">
        <v>0.54</v>
      </c>
      <c r="I204" t="s">
        <v>787</v>
      </c>
      <c r="K204" s="20">
        <f>IF(C204="","",C204-((TRUNC((C204/1000000),0))*1000000))</f>
        <v>128304</v>
      </c>
      <c r="L204" s="20">
        <f ca="1">IF(A204="","",RANDBETWEEN(1,10))</f>
        <v>8</v>
      </c>
      <c r="M204" s="20" t="str">
        <f ca="1">IF(A204="","",IF(L204&lt;8,"calibracion","validacion"))</f>
        <v>validacion</v>
      </c>
      <c r="N204" s="20" t="s">
        <v>824</v>
      </c>
    </row>
    <row r="205" spans="1:14" hidden="1" x14ac:dyDescent="0.25">
      <c r="A205" t="s">
        <v>424</v>
      </c>
      <c r="B205">
        <v>187339</v>
      </c>
      <c r="C205" t="s">
        <v>425</v>
      </c>
      <c r="D205" t="s">
        <v>2</v>
      </c>
      <c r="E205">
        <v>7.42</v>
      </c>
      <c r="F205" s="3" t="s">
        <v>3</v>
      </c>
      <c r="G205" t="s">
        <v>786</v>
      </c>
      <c r="H205" s="4">
        <v>0.23</v>
      </c>
      <c r="I205" t="s">
        <v>787</v>
      </c>
      <c r="K205" s="20">
        <f>IF(C205="","",C205-((TRUNC((C205/1000000),0))*1000000))</f>
        <v>187339</v>
      </c>
      <c r="L205" s="20">
        <f ca="1">IF(A205="","",RANDBETWEEN(1,10))</f>
        <v>7</v>
      </c>
      <c r="M205" s="20" t="str">
        <f ca="1">IF(A205="","",IF(L205&lt;8,"calibracion","validacion"))</f>
        <v>calibracion</v>
      </c>
      <c r="N205" s="20" t="s">
        <v>825</v>
      </c>
    </row>
    <row r="206" spans="1:14" x14ac:dyDescent="0.25">
      <c r="A206" t="s">
        <v>432</v>
      </c>
      <c r="B206">
        <v>253335</v>
      </c>
      <c r="C206" t="s">
        <v>433</v>
      </c>
      <c r="D206" t="s">
        <v>2</v>
      </c>
      <c r="E206">
        <v>2.83</v>
      </c>
      <c r="F206" s="3" t="s">
        <v>3</v>
      </c>
      <c r="G206" t="s">
        <v>786</v>
      </c>
      <c r="H206" s="4">
        <v>0.61</v>
      </c>
      <c r="I206" t="s">
        <v>787</v>
      </c>
      <c r="K206" s="20">
        <f>IF(C206="","",C206-((TRUNC((C206/1000000),0))*1000000))</f>
        <v>253335</v>
      </c>
      <c r="L206" s="20">
        <f ca="1">IF(A206="","",RANDBETWEEN(1,10))</f>
        <v>8</v>
      </c>
      <c r="M206" s="20" t="str">
        <f ca="1">IF(A206="","",IF(L206&lt;8,"calibracion","validacion"))</f>
        <v>validacion</v>
      </c>
      <c r="N206" s="20" t="s">
        <v>824</v>
      </c>
    </row>
    <row r="207" spans="1:14" x14ac:dyDescent="0.25">
      <c r="A207" t="s">
        <v>430</v>
      </c>
      <c r="B207">
        <v>258301</v>
      </c>
      <c r="C207" t="s">
        <v>431</v>
      </c>
      <c r="D207" t="s">
        <v>2</v>
      </c>
      <c r="E207">
        <v>2.58</v>
      </c>
      <c r="F207" s="3" t="s">
        <v>3</v>
      </c>
      <c r="G207" t="s">
        <v>786</v>
      </c>
      <c r="H207" s="4">
        <v>0.47</v>
      </c>
      <c r="I207" t="s">
        <v>787</v>
      </c>
      <c r="K207" s="20">
        <f>IF(C207="","",C207-((TRUNC((C207/1000000),0))*1000000))</f>
        <v>258301</v>
      </c>
      <c r="L207" s="20">
        <f ca="1">IF(A207="","",RANDBETWEEN(1,10))</f>
        <v>6</v>
      </c>
      <c r="M207" s="20" t="str">
        <f ca="1">IF(A207="","",IF(L207&lt;8,"calibracion","validacion"))</f>
        <v>calibracion</v>
      </c>
      <c r="N207" s="20" t="s">
        <v>824</v>
      </c>
    </row>
    <row r="208" spans="1:14" x14ac:dyDescent="0.25">
      <c r="A208" t="s">
        <v>428</v>
      </c>
      <c r="B208">
        <v>258302</v>
      </c>
      <c r="C208" t="s">
        <v>429</v>
      </c>
      <c r="D208" t="s">
        <v>2</v>
      </c>
      <c r="E208">
        <v>3.64</v>
      </c>
      <c r="F208" s="3" t="s">
        <v>3</v>
      </c>
      <c r="G208" t="s">
        <v>786</v>
      </c>
      <c r="H208" s="4">
        <v>0.3</v>
      </c>
      <c r="I208" t="s">
        <v>787</v>
      </c>
      <c r="K208" s="20">
        <f>IF(C208="","",C208-((TRUNC((C208/1000000),0))*1000000))</f>
        <v>258302</v>
      </c>
      <c r="L208" s="20">
        <f ca="1">IF(A208="","",RANDBETWEEN(1,10))</f>
        <v>1</v>
      </c>
      <c r="M208" s="20" t="str">
        <f ca="1">IF(A208="","",IF(L208&lt;8,"calibracion","validacion"))</f>
        <v>calibracion</v>
      </c>
      <c r="N208" s="20" t="s">
        <v>824</v>
      </c>
    </row>
    <row r="209" spans="1:14" x14ac:dyDescent="0.25">
      <c r="A209" t="s">
        <v>434</v>
      </c>
      <c r="B209">
        <v>258307</v>
      </c>
      <c r="C209" t="s">
        <v>435</v>
      </c>
      <c r="D209" t="s">
        <v>2</v>
      </c>
      <c r="E209">
        <v>2.64</v>
      </c>
      <c r="F209" s="3" t="s">
        <v>3</v>
      </c>
      <c r="G209" t="s">
        <v>786</v>
      </c>
      <c r="H209" s="4">
        <v>0.82</v>
      </c>
      <c r="I209" t="s">
        <v>787</v>
      </c>
      <c r="K209" s="20">
        <f>IF(C209="","",C209-((TRUNC((C209/1000000),0))*1000000))</f>
        <v>258307</v>
      </c>
      <c r="L209" s="20">
        <f ca="1">IF(A209="","",RANDBETWEEN(1,10))</f>
        <v>4</v>
      </c>
      <c r="M209" s="20" t="str">
        <f ca="1">IF(A209="","",IF(L209&lt;8,"calibracion","validacion"))</f>
        <v>calibracion</v>
      </c>
      <c r="N209" s="20" t="s">
        <v>824</v>
      </c>
    </row>
    <row r="210" spans="1:14" hidden="1" x14ac:dyDescent="0.25">
      <c r="A210" t="s">
        <v>436</v>
      </c>
      <c r="B210">
        <v>258308</v>
      </c>
      <c r="C210" t="s">
        <v>437</v>
      </c>
      <c r="D210" t="s">
        <v>2</v>
      </c>
      <c r="E210">
        <v>2.78</v>
      </c>
      <c r="F210" s="3" t="s">
        <v>3</v>
      </c>
      <c r="G210" t="s">
        <v>786</v>
      </c>
      <c r="H210" s="4">
        <v>1.19</v>
      </c>
      <c r="I210" t="s">
        <v>787</v>
      </c>
      <c r="K210" s="20">
        <f>IF(C210="","",C210-((TRUNC((C210/1000000),0))*1000000))</f>
        <v>258308</v>
      </c>
      <c r="L210" s="20">
        <f ca="1">IF(A210="","",RANDBETWEEN(1,10))</f>
        <v>6</v>
      </c>
      <c r="M210" s="20" t="str">
        <f ca="1">IF(A210="","",IF(L210&lt;8,"calibracion","validacion"))</f>
        <v>calibracion</v>
      </c>
      <c r="N210" s="20" t="s">
        <v>825</v>
      </c>
    </row>
    <row r="211" spans="1:14" x14ac:dyDescent="0.25">
      <c r="A211" t="s">
        <v>438</v>
      </c>
      <c r="B211">
        <v>258309</v>
      </c>
      <c r="C211" t="s">
        <v>439</v>
      </c>
      <c r="D211" t="s">
        <v>2</v>
      </c>
      <c r="E211">
        <v>2.2999999999999998</v>
      </c>
      <c r="F211" s="3" t="s">
        <v>3</v>
      </c>
      <c r="G211" t="s">
        <v>786</v>
      </c>
      <c r="H211" s="4">
        <v>0.6</v>
      </c>
      <c r="I211" t="s">
        <v>787</v>
      </c>
      <c r="K211" s="20">
        <f>IF(C211="","",C211-((TRUNC((C211/1000000),0))*1000000))</f>
        <v>258309</v>
      </c>
      <c r="L211" s="20">
        <f ca="1">IF(A211="","",RANDBETWEEN(1,10))</f>
        <v>10</v>
      </c>
      <c r="M211" s="20" t="str">
        <f ca="1">IF(A211="","",IF(L211&lt;8,"calibracion","validacion"))</f>
        <v>validacion</v>
      </c>
      <c r="N211" s="20" t="s">
        <v>824</v>
      </c>
    </row>
    <row r="212" spans="1:14" hidden="1" x14ac:dyDescent="0.25">
      <c r="A212" t="s">
        <v>440</v>
      </c>
      <c r="B212">
        <v>258312</v>
      </c>
      <c r="C212" t="s">
        <v>441</v>
      </c>
      <c r="D212" t="s">
        <v>2</v>
      </c>
      <c r="E212">
        <v>1.91</v>
      </c>
      <c r="F212" s="3" t="s">
        <v>3</v>
      </c>
      <c r="G212" t="s">
        <v>786</v>
      </c>
      <c r="H212" s="4">
        <v>2.68</v>
      </c>
      <c r="I212" t="s">
        <v>787</v>
      </c>
      <c r="K212" s="20">
        <f>IF(C212="","",C212-((TRUNC((C212/1000000),0))*1000000))</f>
        <v>258312</v>
      </c>
      <c r="L212" s="20">
        <f ca="1">IF(A212="","",RANDBETWEEN(1,10))</f>
        <v>9</v>
      </c>
      <c r="M212" s="20" t="str">
        <f ca="1">IF(A212="","",IF(L212&lt;8,"calibracion","validacion"))</f>
        <v>validacion</v>
      </c>
      <c r="N212" s="20" t="s">
        <v>825</v>
      </c>
    </row>
    <row r="213" spans="1:14" hidden="1" x14ac:dyDescent="0.25">
      <c r="A213" t="s">
        <v>442</v>
      </c>
      <c r="B213">
        <v>258313</v>
      </c>
      <c r="C213" t="s">
        <v>443</v>
      </c>
      <c r="D213" t="s">
        <v>2</v>
      </c>
      <c r="E213">
        <v>4.3499999999999996</v>
      </c>
      <c r="F213" s="3" t="s">
        <v>3</v>
      </c>
      <c r="G213" t="s">
        <v>786</v>
      </c>
      <c r="H213" s="4">
        <v>0.39</v>
      </c>
      <c r="I213" t="s">
        <v>787</v>
      </c>
      <c r="K213" s="20">
        <f>IF(C213="","",C213-((TRUNC((C213/1000000),0))*1000000))</f>
        <v>258313</v>
      </c>
      <c r="L213" s="20">
        <f ca="1">IF(A213="","",RANDBETWEEN(1,10))</f>
        <v>1</v>
      </c>
      <c r="M213" s="20" t="str">
        <f ca="1">IF(A213="","",IF(L213&lt;8,"calibracion","validacion"))</f>
        <v>calibracion</v>
      </c>
      <c r="N213" s="20" t="s">
        <v>825</v>
      </c>
    </row>
    <row r="214" spans="1:14" hidden="1" x14ac:dyDescent="0.25">
      <c r="A214" t="s">
        <v>426</v>
      </c>
      <c r="B214">
        <v>258315</v>
      </c>
      <c r="C214" t="s">
        <v>427</v>
      </c>
      <c r="D214" t="s">
        <v>2</v>
      </c>
      <c r="E214">
        <v>3.47</v>
      </c>
      <c r="F214" s="3" t="s">
        <v>3</v>
      </c>
      <c r="G214" t="s">
        <v>786</v>
      </c>
      <c r="H214" s="4">
        <v>0.56000000000000005</v>
      </c>
      <c r="I214" t="s">
        <v>787</v>
      </c>
      <c r="K214" s="20">
        <f>IF(C214="","",C214-((TRUNC((C214/1000000),0))*1000000))</f>
        <v>258315</v>
      </c>
      <c r="L214" s="20">
        <f ca="1">IF(A214="","",RANDBETWEEN(1,10))</f>
        <v>8</v>
      </c>
      <c r="M214" s="20" t="str">
        <f ca="1">IF(A214="","",IF(L214&lt;8,"calibracion","validacion"))</f>
        <v>validacion</v>
      </c>
      <c r="N214" s="20" t="s">
        <v>825</v>
      </c>
    </row>
    <row r="215" spans="1:14" x14ac:dyDescent="0.25">
      <c r="A215" t="s">
        <v>444</v>
      </c>
      <c r="B215">
        <v>258319</v>
      </c>
      <c r="C215" t="s">
        <v>445</v>
      </c>
      <c r="D215" t="s">
        <v>2</v>
      </c>
      <c r="E215">
        <v>2.94</v>
      </c>
      <c r="F215" s="3" t="s">
        <v>3</v>
      </c>
      <c r="G215" t="s">
        <v>786</v>
      </c>
      <c r="H215" s="4">
        <v>0.79</v>
      </c>
      <c r="I215" t="s">
        <v>787</v>
      </c>
      <c r="K215" s="20">
        <f>IF(C215="","",C215-((TRUNC((C215/1000000),0))*1000000))</f>
        <v>258319</v>
      </c>
      <c r="L215" s="20">
        <f ca="1">IF(A215="","",RANDBETWEEN(1,10))</f>
        <v>4</v>
      </c>
      <c r="M215" s="20" t="str">
        <f ca="1">IF(A215="","",IF(L215&lt;8,"calibracion","validacion"))</f>
        <v>calibracion</v>
      </c>
      <c r="N215" s="20" t="s">
        <v>824</v>
      </c>
    </row>
    <row r="216" spans="1:14" hidden="1" x14ac:dyDescent="0.25">
      <c r="A216" t="s">
        <v>446</v>
      </c>
      <c r="B216">
        <v>258322</v>
      </c>
      <c r="C216" t="s">
        <v>447</v>
      </c>
      <c r="D216" t="s">
        <v>2</v>
      </c>
      <c r="E216">
        <v>1.9</v>
      </c>
      <c r="F216" s="3" t="s">
        <v>3</v>
      </c>
      <c r="G216" t="s">
        <v>786</v>
      </c>
      <c r="H216" s="4">
        <v>1.31</v>
      </c>
      <c r="I216" t="s">
        <v>787</v>
      </c>
      <c r="K216" s="20">
        <f>IF(C216="","",C216-((TRUNC((C216/1000000),0))*1000000))</f>
        <v>258322</v>
      </c>
      <c r="L216" s="20">
        <f ca="1">IF(A216="","",RANDBETWEEN(1,10))</f>
        <v>4</v>
      </c>
      <c r="M216" s="20" t="str">
        <f ca="1">IF(A216="","",IF(L216&lt;8,"calibracion","validacion"))</f>
        <v>calibracion</v>
      </c>
      <c r="N216" s="20" t="s">
        <v>825</v>
      </c>
    </row>
    <row r="217" spans="1:14" x14ac:dyDescent="0.25">
      <c r="A217" t="s">
        <v>448</v>
      </c>
      <c r="B217">
        <v>258327</v>
      </c>
      <c r="C217" t="s">
        <v>449</v>
      </c>
      <c r="D217" t="s">
        <v>2</v>
      </c>
      <c r="E217">
        <v>2.2999999999999998</v>
      </c>
      <c r="F217" s="3" t="s">
        <v>3</v>
      </c>
      <c r="G217" t="s">
        <v>786</v>
      </c>
      <c r="H217" s="4">
        <v>1.29</v>
      </c>
      <c r="I217" t="s">
        <v>787</v>
      </c>
      <c r="K217" s="20">
        <f>IF(C217="","",C217-((TRUNC((C217/1000000),0))*1000000))</f>
        <v>258327</v>
      </c>
      <c r="L217" s="20">
        <f ca="1">IF(A217="","",RANDBETWEEN(1,10))</f>
        <v>7</v>
      </c>
      <c r="M217" s="20" t="str">
        <f ca="1">IF(A217="","",IF(L217&lt;8,"calibracion","validacion"))</f>
        <v>calibracion</v>
      </c>
      <c r="N217" s="20" t="s">
        <v>824</v>
      </c>
    </row>
    <row r="218" spans="1:14" hidden="1" x14ac:dyDescent="0.25">
      <c r="A218" t="s">
        <v>450</v>
      </c>
      <c r="B218">
        <v>258333</v>
      </c>
      <c r="C218" t="s">
        <v>451</v>
      </c>
      <c r="D218" t="s">
        <v>2</v>
      </c>
      <c r="E218">
        <v>3.01</v>
      </c>
      <c r="F218" s="3" t="s">
        <v>3</v>
      </c>
      <c r="G218" t="s">
        <v>786</v>
      </c>
      <c r="H218" s="4">
        <v>0.32</v>
      </c>
      <c r="I218" t="s">
        <v>787</v>
      </c>
      <c r="K218" s="20">
        <f>IF(C218="","",C218-((TRUNC((C218/1000000),0))*1000000))</f>
        <v>258333</v>
      </c>
      <c r="L218" s="20">
        <f ca="1">IF(A218="","",RANDBETWEEN(1,10))</f>
        <v>6</v>
      </c>
      <c r="M218" s="20" t="str">
        <f ca="1">IF(A218="","",IF(L218&lt;8,"calibracion","validacion"))</f>
        <v>calibracion</v>
      </c>
      <c r="N218" s="20" t="s">
        <v>825</v>
      </c>
    </row>
    <row r="219" spans="1:14" hidden="1" x14ac:dyDescent="0.25">
      <c r="A219" t="s">
        <v>452</v>
      </c>
      <c r="B219">
        <v>258334</v>
      </c>
      <c r="C219" t="s">
        <v>453</v>
      </c>
      <c r="D219" t="s">
        <v>2</v>
      </c>
      <c r="E219">
        <v>2.46</v>
      </c>
      <c r="F219" s="3" t="s">
        <v>3</v>
      </c>
      <c r="G219" t="s">
        <v>786</v>
      </c>
      <c r="H219" s="4">
        <v>0.44</v>
      </c>
      <c r="I219" t="s">
        <v>787</v>
      </c>
      <c r="K219" s="20">
        <f>IF(C219="","",C219-((TRUNC((C219/1000000),0))*1000000))</f>
        <v>258334</v>
      </c>
      <c r="L219" s="20">
        <f ca="1">IF(A219="","",RANDBETWEEN(1,10))</f>
        <v>5</v>
      </c>
      <c r="M219" s="20" t="str">
        <f ca="1">IF(A219="","",IF(L219&lt;8,"calibracion","validacion"))</f>
        <v>calibracion</v>
      </c>
      <c r="N219" s="20" t="s">
        <v>825</v>
      </c>
    </row>
    <row r="220" spans="1:14" x14ac:dyDescent="0.25">
      <c r="A220" t="s">
        <v>454</v>
      </c>
      <c r="B220">
        <v>258335</v>
      </c>
      <c r="C220" t="s">
        <v>455</v>
      </c>
      <c r="D220" t="s">
        <v>2</v>
      </c>
      <c r="E220">
        <v>4.12</v>
      </c>
      <c r="F220" s="3" t="s">
        <v>3</v>
      </c>
      <c r="G220" t="s">
        <v>786</v>
      </c>
      <c r="H220" s="4">
        <v>0.66</v>
      </c>
      <c r="I220" t="s">
        <v>787</v>
      </c>
      <c r="K220" s="20">
        <f>IF(C220="","",C220-((TRUNC((C220/1000000),0))*1000000))</f>
        <v>258335</v>
      </c>
      <c r="L220" s="20">
        <f ca="1">IF(A220="","",RANDBETWEEN(1,10))</f>
        <v>1</v>
      </c>
      <c r="M220" s="20" t="str">
        <f ca="1">IF(A220="","",IF(L220&lt;8,"calibracion","validacion"))</f>
        <v>calibracion</v>
      </c>
      <c r="N220" s="20" t="s">
        <v>824</v>
      </c>
    </row>
    <row r="221" spans="1:14" hidden="1" x14ac:dyDescent="0.25">
      <c r="A221" t="s">
        <v>456</v>
      </c>
      <c r="B221">
        <v>258336</v>
      </c>
      <c r="C221" t="s">
        <v>457</v>
      </c>
      <c r="D221" t="s">
        <v>2</v>
      </c>
      <c r="E221">
        <v>7.54</v>
      </c>
      <c r="F221" s="3" t="s">
        <v>3</v>
      </c>
      <c r="G221" t="s">
        <v>786</v>
      </c>
      <c r="H221" s="4">
        <v>0.63</v>
      </c>
      <c r="I221" t="s">
        <v>787</v>
      </c>
      <c r="K221" s="20">
        <f>IF(C221="","",C221-((TRUNC((C221/1000000),0))*1000000))</f>
        <v>258336</v>
      </c>
      <c r="L221" s="20">
        <f ca="1">IF(A221="","",RANDBETWEEN(1,10))</f>
        <v>1</v>
      </c>
      <c r="M221" s="20" t="str">
        <f ca="1">IF(A221="","",IF(L221&lt;8,"calibracion","validacion"))</f>
        <v>calibracion</v>
      </c>
      <c r="N221" s="20" t="s">
        <v>825</v>
      </c>
    </row>
    <row r="222" spans="1:14" hidden="1" x14ac:dyDescent="0.25">
      <c r="A222" t="s">
        <v>458</v>
      </c>
      <c r="B222">
        <v>258338</v>
      </c>
      <c r="C222" t="s">
        <v>459</v>
      </c>
      <c r="D222" t="s">
        <v>2</v>
      </c>
      <c r="E222">
        <v>9.25</v>
      </c>
      <c r="F222" s="3" t="s">
        <v>3</v>
      </c>
      <c r="G222" t="s">
        <v>786</v>
      </c>
      <c r="H222" s="4">
        <v>0.53</v>
      </c>
      <c r="I222" t="s">
        <v>787</v>
      </c>
      <c r="K222" s="20">
        <f>IF(C222="","",C222-((TRUNC((C222/1000000),0))*1000000))</f>
        <v>258338</v>
      </c>
      <c r="L222" s="20">
        <f ca="1">IF(A222="","",RANDBETWEEN(1,10))</f>
        <v>1</v>
      </c>
      <c r="M222" s="20" t="str">
        <f ca="1">IF(A222="","",IF(L222&lt;8,"calibracion","validacion"))</f>
        <v>calibracion</v>
      </c>
      <c r="N222" s="20" t="s">
        <v>825</v>
      </c>
    </row>
    <row r="223" spans="1:14" hidden="1" x14ac:dyDescent="0.25">
      <c r="A223" t="s">
        <v>460</v>
      </c>
      <c r="B223">
        <v>258339</v>
      </c>
      <c r="C223" t="s">
        <v>461</v>
      </c>
      <c r="D223" t="s">
        <v>2</v>
      </c>
      <c r="E223">
        <v>6.87</v>
      </c>
      <c r="F223" s="3" t="s">
        <v>3</v>
      </c>
      <c r="G223" t="s">
        <v>786</v>
      </c>
      <c r="H223" s="4">
        <v>1.68</v>
      </c>
      <c r="I223" t="s">
        <v>787</v>
      </c>
      <c r="K223" s="20">
        <f>IF(C223="","",C223-((TRUNC((C223/1000000),0))*1000000))</f>
        <v>258339</v>
      </c>
      <c r="L223" s="20">
        <f ca="1">IF(A223="","",RANDBETWEEN(1,10))</f>
        <v>6</v>
      </c>
      <c r="M223" s="20" t="str">
        <f ca="1">IF(A223="","",IF(L223&lt;8,"calibracion","validacion"))</f>
        <v>calibracion</v>
      </c>
      <c r="N223" s="20" t="s">
        <v>825</v>
      </c>
    </row>
    <row r="224" spans="1:14" hidden="1" x14ac:dyDescent="0.25">
      <c r="A224" t="s">
        <v>462</v>
      </c>
      <c r="B224">
        <v>258340</v>
      </c>
      <c r="C224" t="s">
        <v>463</v>
      </c>
      <c r="D224" t="s">
        <v>2</v>
      </c>
      <c r="E224">
        <v>2.1800000000000002</v>
      </c>
      <c r="F224" s="3" t="s">
        <v>3</v>
      </c>
      <c r="G224" t="s">
        <v>786</v>
      </c>
      <c r="H224" s="4">
        <v>1.92</v>
      </c>
      <c r="I224" t="s">
        <v>787</v>
      </c>
      <c r="K224" s="20">
        <f>IF(C224="","",C224-((TRUNC((C224/1000000),0))*1000000))</f>
        <v>258340</v>
      </c>
      <c r="L224" s="20">
        <f ca="1">IF(A224="","",RANDBETWEEN(1,10))</f>
        <v>9</v>
      </c>
      <c r="M224" s="20" t="str">
        <f ca="1">IF(A224="","",IF(L224&lt;8,"calibracion","validacion"))</f>
        <v>validacion</v>
      </c>
      <c r="N224" s="20" t="s">
        <v>825</v>
      </c>
    </row>
    <row r="225" spans="1:14" hidden="1" x14ac:dyDescent="0.25">
      <c r="A225" t="s">
        <v>464</v>
      </c>
      <c r="B225">
        <v>344307</v>
      </c>
      <c r="C225" t="s">
        <v>465</v>
      </c>
      <c r="D225" t="s">
        <v>2</v>
      </c>
      <c r="E225">
        <v>3.92</v>
      </c>
      <c r="F225" s="3" t="s">
        <v>3</v>
      </c>
      <c r="G225" t="s">
        <v>786</v>
      </c>
      <c r="H225" s="4">
        <v>0.14000000000000001</v>
      </c>
      <c r="I225" t="s">
        <v>787</v>
      </c>
      <c r="K225" s="20">
        <f>IF(C225="","",C225-((TRUNC((C225/1000000),0))*1000000))</f>
        <v>344307</v>
      </c>
      <c r="L225" s="20">
        <f ca="1">IF(A225="","",RANDBETWEEN(1,10))</f>
        <v>7</v>
      </c>
      <c r="M225" s="20" t="str">
        <f ca="1">IF(A225="","",IF(L225&lt;8,"calibracion","validacion"))</f>
        <v>calibracion</v>
      </c>
      <c r="N225" s="20" t="s">
        <v>825</v>
      </c>
    </row>
    <row r="226" spans="1:14" x14ac:dyDescent="0.25">
      <c r="A226" t="s">
        <v>466</v>
      </c>
      <c r="B226">
        <v>373327</v>
      </c>
      <c r="C226" t="s">
        <v>467</v>
      </c>
      <c r="D226" t="s">
        <v>2</v>
      </c>
      <c r="E226">
        <v>6.32</v>
      </c>
      <c r="F226" s="3" t="s">
        <v>3</v>
      </c>
      <c r="G226" t="s">
        <v>786</v>
      </c>
      <c r="H226" s="4">
        <v>0.22</v>
      </c>
      <c r="I226" t="s">
        <v>787</v>
      </c>
      <c r="K226" s="20">
        <f>IF(C226="","",C226-((TRUNC((C226/1000000),0))*1000000))</f>
        <v>373327</v>
      </c>
      <c r="L226" s="20">
        <f ca="1">IF(A226="","",RANDBETWEEN(1,10))</f>
        <v>10</v>
      </c>
      <c r="M226" s="20" t="str">
        <f ca="1">IF(A226="","",IF(L226&lt;8,"calibracion","validacion"))</f>
        <v>validacion</v>
      </c>
      <c r="N226" s="20" t="s">
        <v>824</v>
      </c>
    </row>
    <row r="227" spans="1:14" hidden="1" x14ac:dyDescent="0.25">
      <c r="A227" t="s">
        <v>468</v>
      </c>
      <c r="B227">
        <v>523323</v>
      </c>
      <c r="C227" t="s">
        <v>469</v>
      </c>
      <c r="D227" t="s">
        <v>2</v>
      </c>
      <c r="E227">
        <v>6.1</v>
      </c>
      <c r="F227" s="3" t="s">
        <v>3</v>
      </c>
      <c r="G227" t="s">
        <v>786</v>
      </c>
      <c r="H227" s="4">
        <v>0.5</v>
      </c>
      <c r="I227" t="s">
        <v>787</v>
      </c>
      <c r="K227" s="20">
        <f>IF(C227="","",C227-((TRUNC((C227/1000000),0))*1000000))</f>
        <v>523323</v>
      </c>
      <c r="L227" s="20">
        <f ca="1">IF(A227="","",RANDBETWEEN(1,10))</f>
        <v>9</v>
      </c>
      <c r="M227" s="20" t="str">
        <f ca="1">IF(A227="","",IF(L227&lt;8,"calibracion","validacion"))</f>
        <v>validacion</v>
      </c>
      <c r="N227" s="20" t="s">
        <v>825</v>
      </c>
    </row>
    <row r="228" spans="1:14" hidden="1" x14ac:dyDescent="0.25">
      <c r="A228" t="s">
        <v>470</v>
      </c>
      <c r="B228">
        <v>527333</v>
      </c>
      <c r="C228" t="s">
        <v>471</v>
      </c>
      <c r="D228" t="s">
        <v>2</v>
      </c>
      <c r="E228">
        <v>9.36</v>
      </c>
      <c r="F228" s="3" t="s">
        <v>3</v>
      </c>
      <c r="G228" t="s">
        <v>786</v>
      </c>
      <c r="H228" s="4">
        <v>0.37</v>
      </c>
      <c r="I228" t="s">
        <v>787</v>
      </c>
      <c r="K228" s="20">
        <f>IF(C228="","",C228-((TRUNC((C228/1000000),0))*1000000))</f>
        <v>527333</v>
      </c>
      <c r="L228" s="20">
        <f ca="1">IF(A228="","",RANDBETWEEN(1,10))</f>
        <v>7</v>
      </c>
      <c r="M228" s="20" t="str">
        <f ca="1">IF(A228="","",IF(L228&lt;8,"calibracion","validacion"))</f>
        <v>calibracion</v>
      </c>
      <c r="N228" s="20" t="s">
        <v>825</v>
      </c>
    </row>
    <row r="229" spans="1:14" hidden="1" x14ac:dyDescent="0.25">
      <c r="A229" t="s">
        <v>472</v>
      </c>
      <c r="B229">
        <v>643338</v>
      </c>
      <c r="C229" t="s">
        <v>473</v>
      </c>
      <c r="D229" t="s">
        <v>2</v>
      </c>
      <c r="E229">
        <v>8.08</v>
      </c>
      <c r="F229" s="3" t="s">
        <v>3</v>
      </c>
      <c r="G229" t="s">
        <v>786</v>
      </c>
      <c r="H229" s="4">
        <v>0.43</v>
      </c>
      <c r="I229" t="s">
        <v>787</v>
      </c>
      <c r="K229" s="20">
        <f>IF(C229="","",C229-((TRUNC((C229/1000000),0))*1000000))</f>
        <v>643338</v>
      </c>
      <c r="L229" s="20">
        <f ca="1">IF(A229="","",RANDBETWEEN(1,10))</f>
        <v>8</v>
      </c>
      <c r="M229" s="20" t="str">
        <f ca="1">IF(A229="","",IF(L229&lt;8,"calibracion","validacion"))</f>
        <v>validacion</v>
      </c>
      <c r="N229" s="20" t="s">
        <v>825</v>
      </c>
    </row>
    <row r="230" spans="1:14" hidden="1" x14ac:dyDescent="0.25">
      <c r="A230" t="s">
        <v>474</v>
      </c>
      <c r="B230">
        <v>697327</v>
      </c>
      <c r="C230" t="s">
        <v>475</v>
      </c>
      <c r="D230" t="s">
        <v>2</v>
      </c>
      <c r="E230">
        <v>10.54</v>
      </c>
      <c r="F230" s="3" t="s">
        <v>3</v>
      </c>
      <c r="G230" t="s">
        <v>786</v>
      </c>
      <c r="H230" s="4">
        <v>0.06</v>
      </c>
      <c r="I230" t="s">
        <v>787</v>
      </c>
      <c r="K230" s="20">
        <f>IF(C230="","",C230-((TRUNC((C230/1000000),0))*1000000))</f>
        <v>697327</v>
      </c>
      <c r="L230" s="20">
        <f ca="1">IF(A230="","",RANDBETWEEN(1,10))</f>
        <v>9</v>
      </c>
      <c r="M230" s="20" t="str">
        <f ca="1">IF(A230="","",IF(L230&lt;8,"calibracion","validacion"))</f>
        <v>validacion</v>
      </c>
      <c r="N230" s="20" t="s">
        <v>825</v>
      </c>
    </row>
    <row r="231" spans="1:14" x14ac:dyDescent="0.25">
      <c r="A231" t="s">
        <v>476</v>
      </c>
      <c r="B231">
        <v>697338</v>
      </c>
      <c r="C231" t="s">
        <v>477</v>
      </c>
      <c r="D231" t="s">
        <v>2</v>
      </c>
      <c r="E231">
        <v>7.72</v>
      </c>
      <c r="F231" s="3" t="s">
        <v>3</v>
      </c>
      <c r="G231" t="s">
        <v>786</v>
      </c>
      <c r="H231" s="4">
        <v>0.25</v>
      </c>
      <c r="I231" t="s">
        <v>787</v>
      </c>
      <c r="K231" s="20">
        <f>IF(C231="","",C231-((TRUNC((C231/1000000),0))*1000000))</f>
        <v>697338</v>
      </c>
      <c r="L231" s="20">
        <f ca="1">IF(A231="","",RANDBETWEEN(1,10))</f>
        <v>8</v>
      </c>
      <c r="M231" s="20" t="str">
        <f ca="1">IF(A231="","",IF(L231&lt;8,"calibracion","validacion"))</f>
        <v>validacion</v>
      </c>
      <c r="N231" s="20" t="s">
        <v>824</v>
      </c>
    </row>
    <row r="232" spans="1:14" x14ac:dyDescent="0.25">
      <c r="A232" t="s">
        <v>478</v>
      </c>
      <c r="B232">
        <v>711330</v>
      </c>
      <c r="C232" t="s">
        <v>479</v>
      </c>
      <c r="D232" t="s">
        <v>2</v>
      </c>
      <c r="E232">
        <v>8.69</v>
      </c>
      <c r="F232" s="3" t="s">
        <v>3</v>
      </c>
      <c r="G232" t="s">
        <v>786</v>
      </c>
      <c r="H232" s="4">
        <v>0.51</v>
      </c>
      <c r="I232" t="s">
        <v>787</v>
      </c>
      <c r="K232" s="20">
        <f>IF(C232="","",C232-((TRUNC((C232/1000000),0))*1000000))</f>
        <v>711330</v>
      </c>
      <c r="L232" s="20">
        <f ca="1">IF(A232="","",RANDBETWEEN(1,10))</f>
        <v>7</v>
      </c>
      <c r="M232" s="20" t="str">
        <f ca="1">IF(A232="","",IF(L232&lt;8,"calibracion","validacion"))</f>
        <v>calibracion</v>
      </c>
      <c r="N232" s="20" t="s">
        <v>824</v>
      </c>
    </row>
    <row r="233" spans="1:14" hidden="1" x14ac:dyDescent="0.25">
      <c r="A233" t="s">
        <v>480</v>
      </c>
      <c r="B233">
        <v>725331</v>
      </c>
      <c r="C233" t="s">
        <v>481</v>
      </c>
      <c r="D233" t="s">
        <v>2</v>
      </c>
      <c r="E233">
        <v>4.0599999999999996</v>
      </c>
      <c r="F233" s="3" t="s">
        <v>3</v>
      </c>
      <c r="G233" t="s">
        <v>786</v>
      </c>
      <c r="H233" s="4">
        <v>0.49</v>
      </c>
      <c r="I233" t="s">
        <v>787</v>
      </c>
      <c r="K233" s="20">
        <f>IF(C233="","",C233-((TRUNC((C233/1000000),0))*1000000))</f>
        <v>725331</v>
      </c>
      <c r="L233" s="20">
        <f ca="1">IF(A233="","",RANDBETWEEN(1,10))</f>
        <v>3</v>
      </c>
      <c r="M233" s="20" t="str">
        <f ca="1">IF(A233="","",IF(L233&lt;8,"calibracion","validacion"))</f>
        <v>calibracion</v>
      </c>
      <c r="N233" s="20" t="s">
        <v>825</v>
      </c>
    </row>
    <row r="234" spans="1:14" hidden="1" x14ac:dyDescent="0.25">
      <c r="A234" t="s">
        <v>482</v>
      </c>
      <c r="B234">
        <v>725332</v>
      </c>
      <c r="C234" t="s">
        <v>483</v>
      </c>
      <c r="D234" t="s">
        <v>2</v>
      </c>
      <c r="E234">
        <v>3.02</v>
      </c>
      <c r="F234" s="3" t="s">
        <v>3</v>
      </c>
      <c r="G234" t="s">
        <v>786</v>
      </c>
      <c r="H234" s="4">
        <v>0.54</v>
      </c>
      <c r="I234" t="s">
        <v>787</v>
      </c>
      <c r="K234" s="20">
        <f>IF(C234="","",C234-((TRUNC((C234/1000000),0))*1000000))</f>
        <v>725332</v>
      </c>
      <c r="L234" s="20">
        <f ca="1">IF(A234="","",RANDBETWEEN(1,10))</f>
        <v>2</v>
      </c>
      <c r="M234" s="20" t="str">
        <f ca="1">IF(A234="","",IF(L234&lt;8,"calibracion","validacion"))</f>
        <v>calibracion</v>
      </c>
      <c r="N234" s="20" t="s">
        <v>825</v>
      </c>
    </row>
    <row r="235" spans="1:14" hidden="1" x14ac:dyDescent="0.25">
      <c r="A235" t="s">
        <v>484</v>
      </c>
      <c r="B235">
        <v>725333</v>
      </c>
      <c r="C235" t="s">
        <v>485</v>
      </c>
      <c r="D235" t="s">
        <v>2</v>
      </c>
      <c r="E235">
        <v>2.4</v>
      </c>
      <c r="F235" s="3" t="s">
        <v>3</v>
      </c>
      <c r="G235" t="s">
        <v>786</v>
      </c>
      <c r="H235" s="4">
        <v>2.64</v>
      </c>
      <c r="I235" t="s">
        <v>787</v>
      </c>
      <c r="K235" s="20">
        <f>IF(C235="","",C235-((TRUNC((C235/1000000),0))*1000000))</f>
        <v>725333</v>
      </c>
      <c r="L235" s="20">
        <f ca="1">IF(A235="","",RANDBETWEEN(1,10))</f>
        <v>10</v>
      </c>
      <c r="M235" s="20" t="str">
        <f ca="1">IF(A235="","",IF(L235&lt;8,"calibracion","validacion"))</f>
        <v>validacion</v>
      </c>
      <c r="N235" s="20" t="s">
        <v>825</v>
      </c>
    </row>
    <row r="236" spans="1:14" x14ac:dyDescent="0.25">
      <c r="A236" t="s">
        <v>486</v>
      </c>
      <c r="B236">
        <v>725334</v>
      </c>
      <c r="C236" t="s">
        <v>487</v>
      </c>
      <c r="D236" t="s">
        <v>2</v>
      </c>
      <c r="E236">
        <v>3.23</v>
      </c>
      <c r="F236" s="3" t="s">
        <v>3</v>
      </c>
      <c r="G236" t="s">
        <v>786</v>
      </c>
      <c r="H236" s="4">
        <v>2.0299999999999998</v>
      </c>
      <c r="I236" t="s">
        <v>787</v>
      </c>
      <c r="K236" s="20">
        <f>IF(C236="","",C236-((TRUNC((C236/1000000),0))*1000000))</f>
        <v>725334</v>
      </c>
      <c r="L236" s="20">
        <f ca="1">IF(A236="","",RANDBETWEEN(1,10))</f>
        <v>6</v>
      </c>
      <c r="M236" s="20" t="str">
        <f ca="1">IF(A236="","",IF(L236&lt;8,"calibracion","validacion"))</f>
        <v>calibracion</v>
      </c>
      <c r="N236" s="20" t="s">
        <v>824</v>
      </c>
    </row>
    <row r="237" spans="1:14" hidden="1" x14ac:dyDescent="0.25">
      <c r="A237" t="s">
        <v>488</v>
      </c>
      <c r="B237">
        <v>725335</v>
      </c>
      <c r="C237" t="s">
        <v>489</v>
      </c>
      <c r="D237" t="s">
        <v>2</v>
      </c>
      <c r="E237">
        <v>3.01</v>
      </c>
      <c r="F237" s="3" t="s">
        <v>3</v>
      </c>
      <c r="G237" t="s">
        <v>786</v>
      </c>
      <c r="H237" s="4">
        <v>0.52</v>
      </c>
      <c r="I237" t="s">
        <v>787</v>
      </c>
      <c r="K237" s="20">
        <f>IF(C237="","",C237-((TRUNC((C237/1000000),0))*1000000))</f>
        <v>725335</v>
      </c>
      <c r="L237" s="20">
        <f ca="1">IF(A237="","",RANDBETWEEN(1,10))</f>
        <v>5</v>
      </c>
      <c r="M237" s="20" t="str">
        <f ca="1">IF(A237="","",IF(L237&lt;8,"calibracion","validacion"))</f>
        <v>calibracion</v>
      </c>
      <c r="N237" s="20" t="s">
        <v>825</v>
      </c>
    </row>
    <row r="238" spans="1:14" x14ac:dyDescent="0.25">
      <c r="A238" t="s">
        <v>490</v>
      </c>
      <c r="B238">
        <v>725338</v>
      </c>
      <c r="C238" t="s">
        <v>491</v>
      </c>
      <c r="D238" t="s">
        <v>2</v>
      </c>
      <c r="E238">
        <v>1.94</v>
      </c>
      <c r="F238" s="3" t="s">
        <v>3</v>
      </c>
      <c r="G238" t="s">
        <v>786</v>
      </c>
      <c r="H238" s="4">
        <v>0.87</v>
      </c>
      <c r="I238" t="s">
        <v>787</v>
      </c>
      <c r="K238" s="20">
        <f>IF(C238="","",C238-((TRUNC((C238/1000000),0))*1000000))</f>
        <v>725338</v>
      </c>
      <c r="L238" s="20">
        <f ca="1">IF(A238="","",RANDBETWEEN(1,10))</f>
        <v>6</v>
      </c>
      <c r="M238" s="20" t="str">
        <f ca="1">IF(A238="","",IF(L238&lt;8,"calibracion","validacion"))</f>
        <v>calibracion</v>
      </c>
      <c r="N238" s="20" t="s">
        <v>824</v>
      </c>
    </row>
    <row r="239" spans="1:14" x14ac:dyDescent="0.25">
      <c r="A239" t="s">
        <v>492</v>
      </c>
      <c r="B239">
        <v>726303</v>
      </c>
      <c r="C239" t="s">
        <v>493</v>
      </c>
      <c r="D239" t="s">
        <v>2</v>
      </c>
      <c r="E239">
        <v>3.04</v>
      </c>
      <c r="F239" s="3" t="s">
        <v>3</v>
      </c>
      <c r="G239" t="s">
        <v>786</v>
      </c>
      <c r="H239" s="4">
        <v>2.4900000000000002</v>
      </c>
      <c r="I239" t="s">
        <v>787</v>
      </c>
      <c r="K239" s="20">
        <f>IF(C239="","",C239-((TRUNC((C239/1000000),0))*1000000))</f>
        <v>726303</v>
      </c>
      <c r="L239" s="20">
        <f ca="1">IF(A239="","",RANDBETWEEN(1,10))</f>
        <v>4</v>
      </c>
      <c r="M239" s="20" t="str">
        <f ca="1">IF(A239="","",IF(L239&lt;8,"calibracion","validacion"))</f>
        <v>calibracion</v>
      </c>
      <c r="N239" s="20" t="s">
        <v>824</v>
      </c>
    </row>
    <row r="240" spans="1:14" hidden="1" x14ac:dyDescent="0.25">
      <c r="A240" t="s">
        <v>494</v>
      </c>
      <c r="B240">
        <v>726304</v>
      </c>
      <c r="C240" t="s">
        <v>495</v>
      </c>
      <c r="D240" t="s">
        <v>2</v>
      </c>
      <c r="E240">
        <v>2.69</v>
      </c>
      <c r="F240" s="3" t="s">
        <v>3</v>
      </c>
      <c r="G240" t="s">
        <v>786</v>
      </c>
      <c r="H240" s="4">
        <v>2.7</v>
      </c>
      <c r="I240" t="s">
        <v>787</v>
      </c>
      <c r="K240" s="20">
        <f>IF(C240="","",C240-((TRUNC((C240/1000000),0))*1000000))</f>
        <v>726304</v>
      </c>
      <c r="L240" s="20">
        <f ca="1">IF(A240="","",RANDBETWEEN(1,10))</f>
        <v>2</v>
      </c>
      <c r="M240" s="20" t="str">
        <f ca="1">IF(A240="","",IF(L240&lt;8,"calibracion","validacion"))</f>
        <v>calibracion</v>
      </c>
      <c r="N240" s="20" t="s">
        <v>825</v>
      </c>
    </row>
    <row r="241" spans="1:14" x14ac:dyDescent="0.25">
      <c r="A241" t="s">
        <v>496</v>
      </c>
      <c r="B241">
        <v>726305</v>
      </c>
      <c r="C241" t="s">
        <v>497</v>
      </c>
      <c r="D241" t="s">
        <v>2</v>
      </c>
      <c r="E241">
        <v>1.63</v>
      </c>
      <c r="F241" s="3" t="s">
        <v>3</v>
      </c>
      <c r="G241" t="s">
        <v>786</v>
      </c>
      <c r="H241" s="4">
        <v>0.05</v>
      </c>
      <c r="I241" t="s">
        <v>787</v>
      </c>
      <c r="K241" s="20">
        <f>IF(C241="","",C241-((TRUNC((C241/1000000),0))*1000000))</f>
        <v>726305</v>
      </c>
      <c r="L241" s="20">
        <f ca="1">IF(A241="","",RANDBETWEEN(1,10))</f>
        <v>8</v>
      </c>
      <c r="M241" s="20" t="str">
        <f ca="1">IF(A241="","",IF(L241&lt;8,"calibracion","validacion"))</f>
        <v>validacion</v>
      </c>
      <c r="N241" s="20" t="s">
        <v>824</v>
      </c>
    </row>
    <row r="242" spans="1:14" hidden="1" x14ac:dyDescent="0.25">
      <c r="A242" t="s">
        <v>498</v>
      </c>
      <c r="B242">
        <v>726308</v>
      </c>
      <c r="C242" t="s">
        <v>499</v>
      </c>
      <c r="D242" t="s">
        <v>2</v>
      </c>
      <c r="E242">
        <v>1.77</v>
      </c>
      <c r="F242" s="3" t="s">
        <v>3</v>
      </c>
      <c r="G242" t="s">
        <v>786</v>
      </c>
      <c r="H242" s="4">
        <v>1.23</v>
      </c>
      <c r="I242" t="s">
        <v>787</v>
      </c>
      <c r="K242" s="20">
        <f>IF(C242="","",C242-((TRUNC((C242/1000000),0))*1000000))</f>
        <v>726308</v>
      </c>
      <c r="L242" s="20">
        <f ca="1">IF(A242="","",RANDBETWEEN(1,10))</f>
        <v>1</v>
      </c>
      <c r="M242" s="20" t="str">
        <f ca="1">IF(A242="","",IF(L242&lt;8,"calibracion","validacion"))</f>
        <v>calibracion</v>
      </c>
      <c r="N242" s="20" t="s">
        <v>825</v>
      </c>
    </row>
    <row r="243" spans="1:14" hidden="1" x14ac:dyDescent="0.25">
      <c r="A243" t="s">
        <v>500</v>
      </c>
      <c r="B243">
        <v>726309</v>
      </c>
      <c r="C243" t="s">
        <v>501</v>
      </c>
      <c r="D243" t="s">
        <v>2</v>
      </c>
      <c r="E243">
        <v>3.19</v>
      </c>
      <c r="F243" s="3" t="s">
        <v>3</v>
      </c>
      <c r="G243" t="s">
        <v>786</v>
      </c>
      <c r="H243" s="4">
        <v>0.6</v>
      </c>
      <c r="I243" t="s">
        <v>787</v>
      </c>
      <c r="K243" s="20">
        <f>IF(C243="","",C243-((TRUNC((C243/1000000),0))*1000000))</f>
        <v>726309</v>
      </c>
      <c r="L243" s="20">
        <f ca="1">IF(A243="","",RANDBETWEEN(1,10))</f>
        <v>7</v>
      </c>
      <c r="M243" s="20" t="str">
        <f ca="1">IF(A243="","",IF(L243&lt;8,"calibracion","validacion"))</f>
        <v>calibracion</v>
      </c>
      <c r="N243" s="20" t="s">
        <v>825</v>
      </c>
    </row>
    <row r="244" spans="1:14" x14ac:dyDescent="0.25">
      <c r="A244" t="s">
        <v>502</v>
      </c>
      <c r="B244">
        <v>726312</v>
      </c>
      <c r="C244" t="s">
        <v>503</v>
      </c>
      <c r="D244" t="s">
        <v>2</v>
      </c>
      <c r="E244">
        <v>2.02</v>
      </c>
      <c r="F244" s="3" t="s">
        <v>3</v>
      </c>
      <c r="G244" t="s">
        <v>786</v>
      </c>
      <c r="H244" s="4">
        <v>0.84</v>
      </c>
      <c r="I244" t="s">
        <v>787</v>
      </c>
      <c r="K244" s="20">
        <f>IF(C244="","",C244-((TRUNC((C244/1000000),0))*1000000))</f>
        <v>726312</v>
      </c>
      <c r="L244" s="20">
        <f ca="1">IF(A244="","",RANDBETWEEN(1,10))</f>
        <v>6</v>
      </c>
      <c r="M244" s="20" t="str">
        <f ca="1">IF(A244="","",IF(L244&lt;8,"calibracion","validacion"))</f>
        <v>calibracion</v>
      </c>
      <c r="N244" s="20" t="s">
        <v>824</v>
      </c>
    </row>
    <row r="245" spans="1:14" hidden="1" x14ac:dyDescent="0.25">
      <c r="A245" t="s">
        <v>506</v>
      </c>
      <c r="B245">
        <v>726315</v>
      </c>
      <c r="C245" t="s">
        <v>507</v>
      </c>
      <c r="D245" t="s">
        <v>2</v>
      </c>
      <c r="E245">
        <v>2.92</v>
      </c>
      <c r="F245" s="3" t="s">
        <v>3</v>
      </c>
      <c r="G245" t="s">
        <v>786</v>
      </c>
      <c r="H245" s="4">
        <v>0.87</v>
      </c>
      <c r="I245" t="s">
        <v>787</v>
      </c>
      <c r="K245" s="20">
        <f>IF(C245="","",C245-((TRUNC((C245/1000000),0))*1000000))</f>
        <v>726315</v>
      </c>
      <c r="L245" s="20">
        <f ca="1">IF(A245="","",RANDBETWEEN(1,10))</f>
        <v>8</v>
      </c>
      <c r="M245" s="20" t="str">
        <f ca="1">IF(A245="","",IF(L245&lt;8,"calibracion","validacion"))</f>
        <v>validacion</v>
      </c>
      <c r="N245" s="20" t="s">
        <v>825</v>
      </c>
    </row>
    <row r="246" spans="1:14" x14ac:dyDescent="0.25">
      <c r="A246" t="s">
        <v>508</v>
      </c>
      <c r="B246">
        <v>726321</v>
      </c>
      <c r="C246" t="s">
        <v>509</v>
      </c>
      <c r="D246" t="s">
        <v>2</v>
      </c>
      <c r="E246">
        <v>2.77</v>
      </c>
      <c r="F246" s="3" t="s">
        <v>3</v>
      </c>
      <c r="G246" t="s">
        <v>786</v>
      </c>
      <c r="H246" s="4">
        <v>0.6</v>
      </c>
      <c r="I246" t="s">
        <v>787</v>
      </c>
      <c r="K246" s="20">
        <f>IF(C246="","",C246-((TRUNC((C246/1000000),0))*1000000))</f>
        <v>726321</v>
      </c>
      <c r="L246" s="20">
        <f ca="1">IF(A246="","",RANDBETWEEN(1,10))</f>
        <v>7</v>
      </c>
      <c r="M246" s="20" t="str">
        <f ca="1">IF(A246="","",IF(L246&lt;8,"calibracion","validacion"))</f>
        <v>calibracion</v>
      </c>
      <c r="N246" s="20" t="s">
        <v>824</v>
      </c>
    </row>
    <row r="247" spans="1:14" x14ac:dyDescent="0.25">
      <c r="A247" t="s">
        <v>510</v>
      </c>
      <c r="B247">
        <v>726322</v>
      </c>
      <c r="C247" t="s">
        <v>511</v>
      </c>
      <c r="D247" t="s">
        <v>2</v>
      </c>
      <c r="E247">
        <v>2.86</v>
      </c>
      <c r="F247" s="3" t="s">
        <v>3</v>
      </c>
      <c r="G247" t="s">
        <v>786</v>
      </c>
      <c r="H247" s="4">
        <v>1.3</v>
      </c>
      <c r="I247" t="s">
        <v>787</v>
      </c>
      <c r="K247" s="20">
        <f>IF(C247="","",C247-((TRUNC((C247/1000000),0))*1000000))</f>
        <v>726322</v>
      </c>
      <c r="L247" s="20">
        <f ca="1">IF(A247="","",RANDBETWEEN(1,10))</f>
        <v>1</v>
      </c>
      <c r="M247" s="20" t="str">
        <f ca="1">IF(A247="","",IF(L247&lt;8,"calibracion","validacion"))</f>
        <v>calibracion</v>
      </c>
      <c r="N247" s="20" t="s">
        <v>824</v>
      </c>
    </row>
    <row r="248" spans="1:14" x14ac:dyDescent="0.25">
      <c r="A248" t="s">
        <v>504</v>
      </c>
      <c r="B248">
        <v>726323</v>
      </c>
      <c r="C248" t="s">
        <v>505</v>
      </c>
      <c r="D248" t="s">
        <v>2</v>
      </c>
      <c r="E248">
        <v>2.19</v>
      </c>
      <c r="F248" s="3" t="s">
        <v>3</v>
      </c>
      <c r="G248" t="s">
        <v>786</v>
      </c>
      <c r="H248" s="4">
        <v>2.0099999999999998</v>
      </c>
      <c r="I248" t="s">
        <v>787</v>
      </c>
      <c r="K248" s="20">
        <f>IF(C248="","",C248-((TRUNC((C248/1000000),0))*1000000))</f>
        <v>726323</v>
      </c>
      <c r="L248" s="20">
        <f ca="1">IF(A248="","",RANDBETWEEN(1,10))</f>
        <v>7</v>
      </c>
      <c r="M248" s="20" t="str">
        <f ca="1">IF(A248="","",IF(L248&lt;8,"calibracion","validacion"))</f>
        <v>calibracion</v>
      </c>
      <c r="N248" s="20" t="s">
        <v>824</v>
      </c>
    </row>
    <row r="249" spans="1:14" hidden="1" x14ac:dyDescent="0.25">
      <c r="A249" t="s">
        <v>516</v>
      </c>
      <c r="B249">
        <v>726328</v>
      </c>
      <c r="C249" t="s">
        <v>517</v>
      </c>
      <c r="D249" t="s">
        <v>2</v>
      </c>
      <c r="E249">
        <v>1.83</v>
      </c>
      <c r="F249" s="3" t="s">
        <v>3</v>
      </c>
      <c r="G249" t="s">
        <v>786</v>
      </c>
      <c r="H249" s="4">
        <v>0.92</v>
      </c>
      <c r="I249" t="s">
        <v>787</v>
      </c>
      <c r="K249" s="20">
        <f>IF(C249="","",C249-((TRUNC((C249/1000000),0))*1000000))</f>
        <v>726328</v>
      </c>
      <c r="L249" s="20">
        <f ca="1">IF(A249="","",RANDBETWEEN(1,10))</f>
        <v>8</v>
      </c>
      <c r="M249" s="20" t="str">
        <f ca="1">IF(A249="","",IF(L249&lt;8,"calibracion","validacion"))</f>
        <v>validacion</v>
      </c>
      <c r="N249" s="20" t="s">
        <v>825</v>
      </c>
    </row>
    <row r="250" spans="1:14" hidden="1" x14ac:dyDescent="0.25">
      <c r="A250" t="s">
        <v>518</v>
      </c>
      <c r="B250">
        <v>726329</v>
      </c>
      <c r="C250" t="s">
        <v>519</v>
      </c>
      <c r="D250" t="s">
        <v>2</v>
      </c>
      <c r="E250">
        <v>2.34</v>
      </c>
      <c r="F250" s="3" t="s">
        <v>3</v>
      </c>
      <c r="G250" t="s">
        <v>786</v>
      </c>
      <c r="H250" s="4">
        <v>0.83</v>
      </c>
      <c r="I250" t="s">
        <v>787</v>
      </c>
      <c r="K250" s="20">
        <f>IF(C250="","",C250-((TRUNC((C250/1000000),0))*1000000))</f>
        <v>726329</v>
      </c>
      <c r="L250" s="20">
        <f ca="1">IF(A250="","",RANDBETWEEN(1,10))</f>
        <v>1</v>
      </c>
      <c r="M250" s="20" t="str">
        <f ca="1">IF(A250="","",IF(L250&lt;8,"calibracion","validacion"))</f>
        <v>calibracion</v>
      </c>
      <c r="N250" s="20" t="s">
        <v>825</v>
      </c>
    </row>
    <row r="251" spans="1:14" hidden="1" x14ac:dyDescent="0.25">
      <c r="A251" t="s">
        <v>512</v>
      </c>
      <c r="B251">
        <v>726330</v>
      </c>
      <c r="C251" t="s">
        <v>513</v>
      </c>
      <c r="D251" t="s">
        <v>2</v>
      </c>
      <c r="E251">
        <v>1.2</v>
      </c>
      <c r="F251" s="3" t="s">
        <v>3</v>
      </c>
      <c r="G251" t="s">
        <v>786</v>
      </c>
      <c r="H251" s="4">
        <v>2.41</v>
      </c>
      <c r="I251" t="s">
        <v>787</v>
      </c>
      <c r="K251" s="20">
        <f>IF(C251="","",C251-((TRUNC((C251/1000000),0))*1000000))</f>
        <v>726330</v>
      </c>
      <c r="L251" s="20">
        <f ca="1">IF(A251="","",RANDBETWEEN(1,10))</f>
        <v>9</v>
      </c>
      <c r="M251" s="20" t="str">
        <f ca="1">IF(A251="","",IF(L251&lt;8,"calibracion","validacion"))</f>
        <v>validacion</v>
      </c>
      <c r="N251" s="20" t="s">
        <v>825</v>
      </c>
    </row>
    <row r="252" spans="1:14" hidden="1" x14ac:dyDescent="0.25">
      <c r="A252" t="s">
        <v>520</v>
      </c>
      <c r="B252">
        <v>726332</v>
      </c>
      <c r="C252" t="s">
        <v>521</v>
      </c>
      <c r="D252" t="s">
        <v>2</v>
      </c>
      <c r="E252">
        <v>3.64</v>
      </c>
      <c r="F252" s="3" t="s">
        <v>3</v>
      </c>
      <c r="G252" t="s">
        <v>786</v>
      </c>
      <c r="H252" s="4">
        <v>0.48</v>
      </c>
      <c r="I252" t="s">
        <v>787</v>
      </c>
      <c r="K252" s="20">
        <f>IF(C252="","",C252-((TRUNC((C252/1000000),0))*1000000))</f>
        <v>726332</v>
      </c>
      <c r="L252" s="20">
        <f ca="1">IF(A252="","",RANDBETWEEN(1,10))</f>
        <v>2</v>
      </c>
      <c r="M252" s="20" t="str">
        <f ca="1">IF(A252="","",IF(L252&lt;8,"calibracion","validacion"))</f>
        <v>calibracion</v>
      </c>
      <c r="N252" s="20" t="s">
        <v>825</v>
      </c>
    </row>
    <row r="253" spans="1:14" x14ac:dyDescent="0.25">
      <c r="A253" t="s">
        <v>522</v>
      </c>
      <c r="B253">
        <v>726333</v>
      </c>
      <c r="C253" t="s">
        <v>523</v>
      </c>
      <c r="D253" t="s">
        <v>2</v>
      </c>
      <c r="E253">
        <v>3</v>
      </c>
      <c r="F253" s="3" t="s">
        <v>3</v>
      </c>
      <c r="G253" t="s">
        <v>786</v>
      </c>
      <c r="H253" s="4">
        <v>0.64</v>
      </c>
      <c r="I253" t="s">
        <v>787</v>
      </c>
      <c r="K253" s="20">
        <f>IF(C253="","",C253-((TRUNC((C253/1000000),0))*1000000))</f>
        <v>726333</v>
      </c>
      <c r="L253" s="20">
        <f ca="1">IF(A253="","",RANDBETWEEN(1,10))</f>
        <v>7</v>
      </c>
      <c r="M253" s="20" t="str">
        <f ca="1">IF(A253="","",IF(L253&lt;8,"calibracion","validacion"))</f>
        <v>calibracion</v>
      </c>
      <c r="N253" s="20" t="s">
        <v>824</v>
      </c>
    </row>
    <row r="254" spans="1:14" hidden="1" x14ac:dyDescent="0.25">
      <c r="A254" t="s">
        <v>524</v>
      </c>
      <c r="B254">
        <v>726334</v>
      </c>
      <c r="C254" t="s">
        <v>525</v>
      </c>
      <c r="D254" t="s">
        <v>2</v>
      </c>
      <c r="E254">
        <v>2.33</v>
      </c>
      <c r="F254" s="3" t="s">
        <v>3</v>
      </c>
      <c r="G254" t="s">
        <v>786</v>
      </c>
      <c r="H254" s="4">
        <v>1.24</v>
      </c>
      <c r="I254" t="s">
        <v>787</v>
      </c>
      <c r="K254" s="20">
        <f>IF(C254="","",C254-((TRUNC((C254/1000000),0))*1000000))</f>
        <v>726334</v>
      </c>
      <c r="L254" s="20">
        <f ca="1">IF(A254="","",RANDBETWEEN(1,10))</f>
        <v>4</v>
      </c>
      <c r="M254" s="20" t="str">
        <f ca="1">IF(A254="","",IF(L254&lt;8,"calibracion","validacion"))</f>
        <v>calibracion</v>
      </c>
      <c r="N254" s="20" t="s">
        <v>825</v>
      </c>
    </row>
    <row r="255" spans="1:14" hidden="1" x14ac:dyDescent="0.25">
      <c r="A255" t="s">
        <v>526</v>
      </c>
      <c r="B255">
        <v>726335</v>
      </c>
      <c r="C255" t="s">
        <v>527</v>
      </c>
      <c r="D255" t="s">
        <v>2</v>
      </c>
      <c r="E255">
        <v>1.1399999999999999</v>
      </c>
      <c r="F255" s="3" t="s">
        <v>3</v>
      </c>
      <c r="G255" t="s">
        <v>786</v>
      </c>
      <c r="H255" s="4">
        <v>0.05</v>
      </c>
      <c r="I255" t="s">
        <v>787</v>
      </c>
      <c r="J255" s="20">
        <f>COUNTIF(N:N,"validacion")</f>
        <v>129</v>
      </c>
      <c r="K255" s="20">
        <f>IF(C255="","",C255-((TRUNC((C255/1000000),0))*1000000))</f>
        <v>726335</v>
      </c>
      <c r="L255" s="20">
        <f ca="1">IF(A255="","",RANDBETWEEN(1,10))</f>
        <v>9</v>
      </c>
      <c r="M255" s="20" t="str">
        <f ca="1">IF(A255="","",IF(L255&lt;8,"calibracion","validacion"))</f>
        <v>validacion</v>
      </c>
      <c r="N255" s="20" t="s">
        <v>825</v>
      </c>
    </row>
    <row r="256" spans="1:14" hidden="1" x14ac:dyDescent="0.25">
      <c r="A256" t="s">
        <v>528</v>
      </c>
      <c r="B256">
        <v>726337</v>
      </c>
      <c r="C256" t="s">
        <v>529</v>
      </c>
      <c r="D256" t="s">
        <v>2</v>
      </c>
      <c r="E256">
        <v>5.7</v>
      </c>
      <c r="F256" s="3" t="s">
        <v>3</v>
      </c>
      <c r="G256" t="s">
        <v>786</v>
      </c>
      <c r="H256" s="4">
        <v>0.97</v>
      </c>
      <c r="I256" t="s">
        <v>787</v>
      </c>
      <c r="K256" s="20">
        <f>IF(C256="","",C256-((TRUNC((C256/1000000),0))*1000000))</f>
        <v>726337</v>
      </c>
      <c r="L256" s="20">
        <f ca="1">IF(A256="","",RANDBETWEEN(1,10))</f>
        <v>9</v>
      </c>
      <c r="M256" s="20" t="str">
        <f ca="1">IF(A256="","",IF(L256&lt;8,"calibracion","validacion"))</f>
        <v>validacion</v>
      </c>
      <c r="N256" s="20" t="s">
        <v>825</v>
      </c>
    </row>
    <row r="257" spans="1:14" x14ac:dyDescent="0.25">
      <c r="A257" t="s">
        <v>530</v>
      </c>
      <c r="B257">
        <v>726339</v>
      </c>
      <c r="C257" t="s">
        <v>531</v>
      </c>
      <c r="D257" t="s">
        <v>2</v>
      </c>
      <c r="E257">
        <v>1.98</v>
      </c>
      <c r="F257" s="3" t="s">
        <v>3</v>
      </c>
      <c r="G257" t="s">
        <v>786</v>
      </c>
      <c r="H257" s="4">
        <v>0.06</v>
      </c>
      <c r="I257" t="s">
        <v>787</v>
      </c>
      <c r="K257" s="20">
        <f>IF(C257="","",C257-((TRUNC((C257/1000000),0))*1000000))</f>
        <v>726339</v>
      </c>
      <c r="L257" s="20">
        <f ca="1">IF(A257="","",RANDBETWEEN(1,10))</f>
        <v>10</v>
      </c>
      <c r="M257" s="20" t="str">
        <f ca="1">IF(A257="","",IF(L257&lt;8,"calibracion","validacion"))</f>
        <v>validacion</v>
      </c>
      <c r="N257" s="20" t="s">
        <v>824</v>
      </c>
    </row>
    <row r="258" spans="1:14" hidden="1" x14ac:dyDescent="0.25">
      <c r="A258" t="s">
        <v>532</v>
      </c>
      <c r="B258">
        <v>736339</v>
      </c>
      <c r="C258" t="s">
        <v>533</v>
      </c>
      <c r="D258" t="s">
        <v>2</v>
      </c>
      <c r="E258">
        <v>2.59</v>
      </c>
      <c r="F258" s="3" t="s">
        <v>3</v>
      </c>
      <c r="G258" t="s">
        <v>786</v>
      </c>
      <c r="H258" s="4">
        <v>1.83</v>
      </c>
      <c r="I258" t="s">
        <v>787</v>
      </c>
      <c r="K258" s="20">
        <f>IF(C258="","",C258-((TRUNC((C258/1000000),0))*1000000))</f>
        <v>736339</v>
      </c>
      <c r="L258" s="20">
        <f ca="1">IF(A258="","",RANDBETWEEN(1,10))</f>
        <v>2</v>
      </c>
      <c r="M258" s="20" t="str">
        <f ca="1">IF(A258="","",IF(L258&lt;8,"calibracion","validacion"))</f>
        <v>calibracion</v>
      </c>
      <c r="N258" s="20" t="s">
        <v>825</v>
      </c>
    </row>
    <row r="259" spans="1:14" hidden="1" x14ac:dyDescent="0.25">
      <c r="A259" t="s">
        <v>534</v>
      </c>
      <c r="B259">
        <v>107336</v>
      </c>
      <c r="C259" t="s">
        <v>535</v>
      </c>
      <c r="D259" t="s">
        <v>2</v>
      </c>
      <c r="E259">
        <v>4.8499999999999996</v>
      </c>
      <c r="F259" s="3" t="s">
        <v>3</v>
      </c>
      <c r="G259" t="s">
        <v>786</v>
      </c>
      <c r="H259" s="4">
        <v>0.1</v>
      </c>
      <c r="I259" t="s">
        <v>787</v>
      </c>
      <c r="K259" s="20">
        <f>IF(C259="","",C259-((TRUNC((C259/1000000),0))*1000000))</f>
        <v>107336</v>
      </c>
      <c r="L259" s="20">
        <f ca="1">IF(A259="","",RANDBETWEEN(1,10))</f>
        <v>1</v>
      </c>
      <c r="M259" s="20" t="str">
        <f ca="1">IF(A259="","",IF(L259&lt;8,"calibracion","validacion"))</f>
        <v>calibracion</v>
      </c>
      <c r="N259" s="20" t="s">
        <v>825</v>
      </c>
    </row>
    <row r="260" spans="1:14" hidden="1" x14ac:dyDescent="0.25">
      <c r="A260" t="s">
        <v>536</v>
      </c>
      <c r="B260">
        <v>161322</v>
      </c>
      <c r="C260" t="s">
        <v>537</v>
      </c>
      <c r="D260" t="s">
        <v>2</v>
      </c>
      <c r="E260">
        <v>2.88</v>
      </c>
      <c r="F260" s="3" t="s">
        <v>3</v>
      </c>
      <c r="G260" t="s">
        <v>786</v>
      </c>
      <c r="H260" s="4">
        <v>2.15</v>
      </c>
      <c r="I260" t="s">
        <v>787</v>
      </c>
      <c r="K260" s="20">
        <f>IF(C260="","",C260-((TRUNC((C260/1000000),0))*1000000))</f>
        <v>161322</v>
      </c>
      <c r="L260" s="20">
        <f ca="1">IF(A260="","",RANDBETWEEN(1,10))</f>
        <v>4</v>
      </c>
      <c r="M260" s="20" t="str">
        <f ca="1">IF(A260="","",IF(L260&lt;8,"calibracion","validacion"))</f>
        <v>calibracion</v>
      </c>
      <c r="N260" s="20" t="s">
        <v>825</v>
      </c>
    </row>
    <row r="261" spans="1:14" x14ac:dyDescent="0.25">
      <c r="A261" t="s">
        <v>538</v>
      </c>
      <c r="B261">
        <v>161324</v>
      </c>
      <c r="C261" t="s">
        <v>539</v>
      </c>
      <c r="D261" t="s">
        <v>2</v>
      </c>
      <c r="E261">
        <v>3.5</v>
      </c>
      <c r="F261" s="3" t="s">
        <v>3</v>
      </c>
      <c r="G261" t="s">
        <v>786</v>
      </c>
      <c r="H261" s="4">
        <v>0.46</v>
      </c>
      <c r="I261" t="s">
        <v>787</v>
      </c>
      <c r="K261" s="20">
        <f>IF(C261="","",C261-((TRUNC((C261/1000000),0))*1000000))</f>
        <v>161324</v>
      </c>
      <c r="L261" s="20">
        <f ca="1">IF(A261="","",RANDBETWEEN(1,10))</f>
        <v>6</v>
      </c>
      <c r="M261" s="20" t="str">
        <f ca="1">IF(A261="","",IF(L261&lt;8,"calibracion","validacion"))</f>
        <v>calibracion</v>
      </c>
      <c r="N261" s="20" t="s">
        <v>824</v>
      </c>
    </row>
    <row r="262" spans="1:14" hidden="1" x14ac:dyDescent="0.25">
      <c r="A262" t="s">
        <v>540</v>
      </c>
      <c r="B262">
        <v>161325</v>
      </c>
      <c r="C262" t="s">
        <v>541</v>
      </c>
      <c r="D262" t="s">
        <v>2</v>
      </c>
      <c r="E262">
        <v>3.19</v>
      </c>
      <c r="F262" s="3" t="s">
        <v>3</v>
      </c>
      <c r="G262" t="s">
        <v>786</v>
      </c>
      <c r="H262" s="4">
        <v>0.91</v>
      </c>
      <c r="I262" t="s">
        <v>787</v>
      </c>
      <c r="K262" s="20">
        <f>IF(C262="","",C262-((TRUNC((C262/1000000),0))*1000000))</f>
        <v>161325</v>
      </c>
      <c r="L262" s="20">
        <f ca="1">IF(A262="","",RANDBETWEEN(1,10))</f>
        <v>2</v>
      </c>
      <c r="M262" s="20" t="str">
        <f ca="1">IF(A262="","",IF(L262&lt;8,"calibracion","validacion"))</f>
        <v>calibracion</v>
      </c>
      <c r="N262" s="20" t="s">
        <v>825</v>
      </c>
    </row>
    <row r="263" spans="1:14" hidden="1" x14ac:dyDescent="0.25">
      <c r="A263" t="s">
        <v>544</v>
      </c>
      <c r="B263">
        <v>161327</v>
      </c>
      <c r="C263" t="s">
        <v>545</v>
      </c>
      <c r="D263" t="s">
        <v>2</v>
      </c>
      <c r="E263">
        <v>3.31</v>
      </c>
      <c r="F263" s="3" t="s">
        <v>3</v>
      </c>
      <c r="G263" t="s">
        <v>786</v>
      </c>
      <c r="H263" s="4">
        <v>0.63</v>
      </c>
      <c r="I263" t="s">
        <v>787</v>
      </c>
      <c r="K263" s="20">
        <f>IF(C263="","",C263-((TRUNC((C263/1000000),0))*1000000))</f>
        <v>161327</v>
      </c>
      <c r="L263" s="20">
        <f ca="1">IF(A263="","",RANDBETWEEN(1,10))</f>
        <v>1</v>
      </c>
      <c r="M263" s="20" t="str">
        <f ca="1">IF(A263="","",IF(L263&lt;8,"calibracion","validacion"))</f>
        <v>calibracion</v>
      </c>
      <c r="N263" s="20" t="s">
        <v>825</v>
      </c>
    </row>
    <row r="264" spans="1:14" x14ac:dyDescent="0.25">
      <c r="A264" t="s">
        <v>546</v>
      </c>
      <c r="B264">
        <v>161329</v>
      </c>
      <c r="C264" t="s">
        <v>547</v>
      </c>
      <c r="D264" t="s">
        <v>2</v>
      </c>
      <c r="E264">
        <v>3.09</v>
      </c>
      <c r="F264" s="3" t="s">
        <v>3</v>
      </c>
      <c r="G264" t="s">
        <v>786</v>
      </c>
      <c r="H264" s="4">
        <v>0.81</v>
      </c>
      <c r="I264" t="s">
        <v>787</v>
      </c>
      <c r="K264" s="20">
        <f>IF(C264="","",C264-((TRUNC((C264/1000000),0))*1000000))</f>
        <v>161329</v>
      </c>
      <c r="L264" s="20">
        <f ca="1">IF(A264="","",RANDBETWEEN(1,10))</f>
        <v>5</v>
      </c>
      <c r="M264" s="20" t="str">
        <f ca="1">IF(A264="","",IF(L264&lt;8,"calibracion","validacion"))</f>
        <v>calibracion</v>
      </c>
      <c r="N264" s="20" t="s">
        <v>824</v>
      </c>
    </row>
    <row r="265" spans="1:14" hidden="1" x14ac:dyDescent="0.25">
      <c r="A265" t="s">
        <v>548</v>
      </c>
      <c r="B265">
        <v>161330</v>
      </c>
      <c r="C265" t="s">
        <v>549</v>
      </c>
      <c r="D265" t="s">
        <v>2</v>
      </c>
      <c r="E265">
        <v>3.49</v>
      </c>
      <c r="F265" s="3" t="s">
        <v>3</v>
      </c>
      <c r="G265" t="s">
        <v>786</v>
      </c>
      <c r="H265" s="4">
        <v>0.91</v>
      </c>
      <c r="I265" t="s">
        <v>787</v>
      </c>
      <c r="K265" s="20">
        <f>IF(C265="","",C265-((TRUNC((C265/1000000),0))*1000000))</f>
        <v>161330</v>
      </c>
      <c r="L265" s="20">
        <f ca="1">IF(A265="","",RANDBETWEEN(1,10))</f>
        <v>9</v>
      </c>
      <c r="M265" s="20" t="str">
        <f ca="1">IF(A265="","",IF(L265&lt;8,"calibracion","validacion"))</f>
        <v>validacion</v>
      </c>
      <c r="N265" s="20" t="s">
        <v>825</v>
      </c>
    </row>
    <row r="266" spans="1:14" hidden="1" x14ac:dyDescent="0.25">
      <c r="A266" t="s">
        <v>550</v>
      </c>
      <c r="B266">
        <v>161331</v>
      </c>
      <c r="C266" t="s">
        <v>551</v>
      </c>
      <c r="D266" t="s">
        <v>2</v>
      </c>
      <c r="E266">
        <v>3.45</v>
      </c>
      <c r="F266" s="3" t="s">
        <v>3</v>
      </c>
      <c r="G266" t="s">
        <v>786</v>
      </c>
      <c r="H266" s="4">
        <v>1.97</v>
      </c>
      <c r="I266" t="s">
        <v>787</v>
      </c>
      <c r="K266" s="20">
        <f>IF(C266="","",C266-((TRUNC((C266/1000000),0))*1000000))</f>
        <v>161331</v>
      </c>
      <c r="L266" s="20">
        <f ca="1">IF(A266="","",RANDBETWEEN(1,10))</f>
        <v>2</v>
      </c>
      <c r="M266" s="20" t="str">
        <f ca="1">IF(A266="","",IF(L266&lt;8,"calibracion","validacion"))</f>
        <v>calibracion</v>
      </c>
      <c r="N266" s="20" t="s">
        <v>825</v>
      </c>
    </row>
    <row r="267" spans="1:14" x14ac:dyDescent="0.25">
      <c r="A267" t="s">
        <v>554</v>
      </c>
      <c r="B267">
        <v>161334</v>
      </c>
      <c r="C267" t="s">
        <v>555</v>
      </c>
      <c r="D267" t="s">
        <v>2</v>
      </c>
      <c r="E267">
        <v>3.26</v>
      </c>
      <c r="F267" s="3" t="s">
        <v>3</v>
      </c>
      <c r="G267" t="s">
        <v>786</v>
      </c>
      <c r="H267" s="4">
        <v>0.55000000000000004</v>
      </c>
      <c r="I267" t="s">
        <v>787</v>
      </c>
      <c r="K267" s="20">
        <f>IF(C267="","",C267-((TRUNC((C267/1000000),0))*1000000))</f>
        <v>161334</v>
      </c>
      <c r="L267" s="20">
        <f ca="1">IF(A267="","",RANDBETWEEN(1,10))</f>
        <v>2</v>
      </c>
      <c r="M267" s="20" t="str">
        <f ca="1">IF(A267="","",IF(L267&lt;8,"calibracion","validacion"))</f>
        <v>calibracion</v>
      </c>
      <c r="N267" s="20" t="s">
        <v>824</v>
      </c>
    </row>
    <row r="268" spans="1:14" hidden="1" x14ac:dyDescent="0.25">
      <c r="A268" t="s">
        <v>556</v>
      </c>
      <c r="B268">
        <v>161335</v>
      </c>
      <c r="C268" t="s">
        <v>557</v>
      </c>
      <c r="D268" t="s">
        <v>2</v>
      </c>
      <c r="E268">
        <v>7.94</v>
      </c>
      <c r="F268" s="3" t="s">
        <v>3</v>
      </c>
      <c r="G268" t="s">
        <v>786</v>
      </c>
      <c r="H268" s="4">
        <v>0.85</v>
      </c>
      <c r="I268" t="s">
        <v>787</v>
      </c>
      <c r="K268" s="20">
        <f>IF(C268="","",C268-((TRUNC((C268/1000000),0))*1000000))</f>
        <v>161335</v>
      </c>
      <c r="L268" s="20">
        <f ca="1">IF(A268="","",RANDBETWEEN(1,10))</f>
        <v>5</v>
      </c>
      <c r="M268" s="20" t="str">
        <f ca="1">IF(A268="","",IF(L268&lt;8,"calibracion","validacion"))</f>
        <v>calibracion</v>
      </c>
      <c r="N268" s="20" t="s">
        <v>825</v>
      </c>
    </row>
    <row r="269" spans="1:14" x14ac:dyDescent="0.25">
      <c r="A269" t="s">
        <v>558</v>
      </c>
      <c r="B269">
        <v>161340</v>
      </c>
      <c r="C269" t="s">
        <v>559</v>
      </c>
      <c r="D269" t="s">
        <v>2</v>
      </c>
      <c r="E269">
        <v>2.97</v>
      </c>
      <c r="F269" s="3" t="s">
        <v>3</v>
      </c>
      <c r="G269" t="s">
        <v>786</v>
      </c>
      <c r="H269" s="4">
        <v>0.59</v>
      </c>
      <c r="I269" t="s">
        <v>787</v>
      </c>
      <c r="K269" s="20">
        <f>IF(C269="","",C269-((TRUNC((C269/1000000),0))*1000000))</f>
        <v>161340</v>
      </c>
      <c r="L269" s="20">
        <f ca="1">IF(A269="","",RANDBETWEEN(1,10))</f>
        <v>8</v>
      </c>
      <c r="M269" s="20" t="str">
        <f ca="1">IF(A269="","",IF(L269&lt;8,"calibracion","validacion"))</f>
        <v>validacion</v>
      </c>
      <c r="N269" s="20" t="s">
        <v>824</v>
      </c>
    </row>
    <row r="270" spans="1:14" hidden="1" x14ac:dyDescent="0.25">
      <c r="A270" t="s">
        <v>560</v>
      </c>
      <c r="B270">
        <v>163305</v>
      </c>
      <c r="C270" t="s">
        <v>561</v>
      </c>
      <c r="D270" t="s">
        <v>2</v>
      </c>
      <c r="E270">
        <v>3.05</v>
      </c>
      <c r="F270" s="3" t="s">
        <v>3</v>
      </c>
      <c r="G270" t="s">
        <v>786</v>
      </c>
      <c r="H270" s="4">
        <v>0.78</v>
      </c>
      <c r="I270" t="s">
        <v>787</v>
      </c>
      <c r="K270" s="20">
        <f>IF(C270="","",C270-((TRUNC((C270/1000000),0))*1000000))</f>
        <v>163305</v>
      </c>
      <c r="L270" s="20">
        <f ca="1">IF(A270="","",RANDBETWEEN(1,10))</f>
        <v>6</v>
      </c>
      <c r="M270" s="20" t="str">
        <f ca="1">IF(A270="","",IF(L270&lt;8,"calibracion","validacion"))</f>
        <v>calibracion</v>
      </c>
      <c r="N270" s="20" t="s">
        <v>825</v>
      </c>
    </row>
    <row r="271" spans="1:14" x14ac:dyDescent="0.25">
      <c r="A271" t="s">
        <v>564</v>
      </c>
      <c r="B271">
        <v>164340</v>
      </c>
      <c r="C271" t="s">
        <v>565</v>
      </c>
      <c r="D271" t="s">
        <v>2</v>
      </c>
      <c r="E271">
        <v>3.9</v>
      </c>
      <c r="F271" s="3" t="s">
        <v>3</v>
      </c>
      <c r="G271" t="s">
        <v>786</v>
      </c>
      <c r="H271" s="4">
        <v>0.69</v>
      </c>
      <c r="I271" t="s">
        <v>787</v>
      </c>
      <c r="K271" s="20">
        <f>IF(C271="","",C271-((TRUNC((C271/1000000),0))*1000000))</f>
        <v>164340</v>
      </c>
      <c r="L271" s="20">
        <f ca="1">IF(A271="","",RANDBETWEEN(1,10))</f>
        <v>6</v>
      </c>
      <c r="M271" s="20" t="str">
        <f ca="1">IF(A271="","",IF(L271&lt;8,"calibracion","validacion"))</f>
        <v>calibracion</v>
      </c>
      <c r="N271" s="20" t="s">
        <v>824</v>
      </c>
    </row>
    <row r="272" spans="1:14" x14ac:dyDescent="0.25">
      <c r="A272" t="s">
        <v>562</v>
      </c>
      <c r="B272">
        <v>166302</v>
      </c>
      <c r="C272" t="s">
        <v>563</v>
      </c>
      <c r="D272" t="s">
        <v>2</v>
      </c>
      <c r="E272">
        <v>2.6</v>
      </c>
      <c r="F272" s="3" t="s">
        <v>3</v>
      </c>
      <c r="G272" t="s">
        <v>786</v>
      </c>
      <c r="H272" s="4">
        <v>0.43</v>
      </c>
      <c r="I272" t="s">
        <v>787</v>
      </c>
      <c r="K272" s="20">
        <f>IF(C272="","",C272-((TRUNC((C272/1000000),0))*1000000))</f>
        <v>166302</v>
      </c>
      <c r="L272" s="20">
        <f ca="1">IF(A272="","",RANDBETWEEN(1,10))</f>
        <v>8</v>
      </c>
      <c r="M272" s="20" t="str">
        <f ca="1">IF(A272="","",IF(L272&lt;8,"calibracion","validacion"))</f>
        <v>validacion</v>
      </c>
      <c r="N272" s="20" t="s">
        <v>824</v>
      </c>
    </row>
    <row r="273" spans="1:14" x14ac:dyDescent="0.25">
      <c r="A273" t="s">
        <v>566</v>
      </c>
      <c r="B273">
        <v>206316</v>
      </c>
      <c r="C273" t="s">
        <v>567</v>
      </c>
      <c r="D273" t="s">
        <v>2</v>
      </c>
      <c r="E273">
        <v>6</v>
      </c>
      <c r="F273" s="3" t="s">
        <v>3</v>
      </c>
      <c r="G273" t="s">
        <v>786</v>
      </c>
      <c r="H273" s="4">
        <v>0.19</v>
      </c>
      <c r="I273" t="s">
        <v>787</v>
      </c>
      <c r="K273" s="20">
        <f>IF(C273="","",C273-((TRUNC((C273/1000000),0))*1000000))</f>
        <v>206316</v>
      </c>
      <c r="L273" s="20">
        <f ca="1">IF(A273="","",RANDBETWEEN(1,10))</f>
        <v>9</v>
      </c>
      <c r="M273" s="20" t="str">
        <f ca="1">IF(A273="","",IF(L273&lt;8,"calibracion","validacion"))</f>
        <v>validacion</v>
      </c>
      <c r="N273" s="20" t="s">
        <v>824</v>
      </c>
    </row>
    <row r="274" spans="1:14" hidden="1" x14ac:dyDescent="0.25">
      <c r="A274" t="s">
        <v>568</v>
      </c>
      <c r="B274">
        <v>339307</v>
      </c>
      <c r="C274" t="s">
        <v>569</v>
      </c>
      <c r="D274" t="s">
        <v>2</v>
      </c>
      <c r="E274">
        <v>3.33</v>
      </c>
      <c r="F274" s="3" t="s">
        <v>3</v>
      </c>
      <c r="G274" t="s">
        <v>786</v>
      </c>
      <c r="H274" s="4">
        <v>0.75</v>
      </c>
      <c r="I274" t="s">
        <v>787</v>
      </c>
      <c r="K274" s="20">
        <f>IF(C274="","",C274-((TRUNC((C274/1000000),0))*1000000))</f>
        <v>339307</v>
      </c>
      <c r="L274" s="20">
        <f ca="1">IF(A274="","",RANDBETWEEN(1,10))</f>
        <v>2</v>
      </c>
      <c r="M274" s="20" t="str">
        <f ca="1">IF(A274="","",IF(L274&lt;8,"calibracion","validacion"))</f>
        <v>calibracion</v>
      </c>
      <c r="N274" s="20" t="s">
        <v>825</v>
      </c>
    </row>
    <row r="275" spans="1:14" x14ac:dyDescent="0.25">
      <c r="A275" t="s">
        <v>570</v>
      </c>
      <c r="B275">
        <v>530321</v>
      </c>
      <c r="C275" t="s">
        <v>571</v>
      </c>
      <c r="D275" t="s">
        <v>2</v>
      </c>
      <c r="E275">
        <v>7.19</v>
      </c>
      <c r="F275" s="3" t="s">
        <v>3</v>
      </c>
      <c r="G275" t="s">
        <v>786</v>
      </c>
      <c r="H275" s="4">
        <v>0.31</v>
      </c>
      <c r="I275" t="s">
        <v>787</v>
      </c>
      <c r="K275" s="20">
        <f>IF(C275="","",C275-((TRUNC((C275/1000000),0))*1000000))</f>
        <v>530321</v>
      </c>
      <c r="L275" s="20">
        <f ca="1">IF(A275="","",RANDBETWEEN(1,10))</f>
        <v>4</v>
      </c>
      <c r="M275" s="20" t="str">
        <f ca="1">IF(A275="","",IF(L275&lt;8,"calibracion","validacion"))</f>
        <v>calibracion</v>
      </c>
      <c r="N275" s="20" t="s">
        <v>824</v>
      </c>
    </row>
    <row r="276" spans="1:14" hidden="1" x14ac:dyDescent="0.25">
      <c r="A276" t="s">
        <v>572</v>
      </c>
      <c r="B276">
        <v>532330</v>
      </c>
      <c r="C276" t="s">
        <v>573</v>
      </c>
      <c r="D276" t="s">
        <v>2</v>
      </c>
      <c r="E276">
        <v>9.9</v>
      </c>
      <c r="F276" s="3" t="s">
        <v>3</v>
      </c>
      <c r="G276" t="s">
        <v>786</v>
      </c>
      <c r="H276" s="4">
        <v>0.08</v>
      </c>
      <c r="I276" t="s">
        <v>787</v>
      </c>
      <c r="K276" s="20">
        <f>IF(C276="","",C276-((TRUNC((C276/1000000),0))*1000000))</f>
        <v>532330</v>
      </c>
      <c r="L276" s="20">
        <f ca="1">IF(A276="","",RANDBETWEEN(1,10))</f>
        <v>10</v>
      </c>
      <c r="M276" s="20" t="str">
        <f ca="1">IF(A276="","",IF(L276&lt;8,"calibracion","validacion"))</f>
        <v>validacion</v>
      </c>
      <c r="N276" s="20" t="s">
        <v>825</v>
      </c>
    </row>
    <row r="277" spans="1:14" hidden="1" x14ac:dyDescent="0.25">
      <c r="A277" t="s">
        <v>574</v>
      </c>
      <c r="B277">
        <v>583322</v>
      </c>
      <c r="C277" t="s">
        <v>575</v>
      </c>
      <c r="D277" t="s">
        <v>2</v>
      </c>
      <c r="E277">
        <v>6.45</v>
      </c>
      <c r="F277" s="3" t="s">
        <v>3</v>
      </c>
      <c r="G277" t="s">
        <v>786</v>
      </c>
      <c r="H277" s="4">
        <v>0.36</v>
      </c>
      <c r="I277" t="s">
        <v>787</v>
      </c>
      <c r="K277" s="20">
        <f>IF(C277="","",C277-((TRUNC((C277/1000000),0))*1000000))</f>
        <v>583322</v>
      </c>
      <c r="L277" s="20">
        <f ca="1">IF(A277="","",RANDBETWEEN(1,10))</f>
        <v>1</v>
      </c>
      <c r="M277" s="20" t="str">
        <f ca="1">IF(A277="","",IF(L277&lt;8,"calibracion","validacion"))</f>
        <v>calibracion</v>
      </c>
      <c r="N277" s="20" t="s">
        <v>825</v>
      </c>
    </row>
    <row r="278" spans="1:14" hidden="1" x14ac:dyDescent="0.25">
      <c r="A278" t="s">
        <v>576</v>
      </c>
      <c r="B278">
        <v>597306</v>
      </c>
      <c r="C278" t="s">
        <v>577</v>
      </c>
      <c r="D278" t="s">
        <v>2</v>
      </c>
      <c r="E278">
        <v>3.4</v>
      </c>
      <c r="F278" s="3" t="s">
        <v>3</v>
      </c>
      <c r="G278" t="s">
        <v>786</v>
      </c>
      <c r="H278" s="4">
        <v>0.92</v>
      </c>
      <c r="I278" t="s">
        <v>787</v>
      </c>
      <c r="K278" s="20">
        <f>IF(C278="","",C278-((TRUNC((C278/1000000),0))*1000000))</f>
        <v>597306</v>
      </c>
      <c r="L278" s="20">
        <f ca="1">IF(A278="","",RANDBETWEEN(1,10))</f>
        <v>5</v>
      </c>
      <c r="M278" s="20" t="str">
        <f ca="1">IF(A278="","",IF(L278&lt;8,"calibracion","validacion"))</f>
        <v>calibracion</v>
      </c>
      <c r="N278" s="20" t="s">
        <v>825</v>
      </c>
    </row>
    <row r="279" spans="1:14" hidden="1" x14ac:dyDescent="0.25">
      <c r="A279" t="s">
        <v>578</v>
      </c>
      <c r="B279">
        <v>597316</v>
      </c>
      <c r="C279" t="s">
        <v>579</v>
      </c>
      <c r="D279" t="s">
        <v>2</v>
      </c>
      <c r="E279">
        <v>8.25</v>
      </c>
      <c r="F279" s="3" t="s">
        <v>3</v>
      </c>
      <c r="G279" t="s">
        <v>786</v>
      </c>
      <c r="H279" s="4">
        <v>0.56999999999999995</v>
      </c>
      <c r="I279" t="s">
        <v>787</v>
      </c>
      <c r="K279" s="20">
        <f>IF(C279="","",C279-((TRUNC((C279/1000000),0))*1000000))</f>
        <v>597316</v>
      </c>
      <c r="L279" s="20">
        <f ca="1">IF(A279="","",RANDBETWEEN(1,10))</f>
        <v>3</v>
      </c>
      <c r="M279" s="20" t="str">
        <f ca="1">IF(A279="","",IF(L279&lt;8,"calibracion","validacion"))</f>
        <v>calibracion</v>
      </c>
      <c r="N279" s="20" t="s">
        <v>825</v>
      </c>
    </row>
    <row r="280" spans="1:14" hidden="1" x14ac:dyDescent="0.25">
      <c r="A280" t="s">
        <v>580</v>
      </c>
      <c r="B280">
        <v>599301</v>
      </c>
      <c r="C280" t="s">
        <v>581</v>
      </c>
      <c r="D280" t="s">
        <v>2</v>
      </c>
      <c r="E280">
        <v>2.7</v>
      </c>
      <c r="F280" s="3" t="s">
        <v>3</v>
      </c>
      <c r="G280" t="s">
        <v>786</v>
      </c>
      <c r="H280" s="4">
        <v>1.57</v>
      </c>
      <c r="I280" t="s">
        <v>787</v>
      </c>
      <c r="K280" s="20">
        <f>IF(C280="","",C280-((TRUNC((C280/1000000),0))*1000000))</f>
        <v>599301</v>
      </c>
      <c r="L280" s="20">
        <f ca="1">IF(A280="","",RANDBETWEEN(1,10))</f>
        <v>10</v>
      </c>
      <c r="M280" s="20" t="str">
        <f ca="1">IF(A280="","",IF(L280&lt;8,"calibracion","validacion"))</f>
        <v>validacion</v>
      </c>
      <c r="N280" s="20" t="s">
        <v>825</v>
      </c>
    </row>
    <row r="281" spans="1:14" hidden="1" x14ac:dyDescent="0.25">
      <c r="A281" t="s">
        <v>582</v>
      </c>
      <c r="B281">
        <v>599307</v>
      </c>
      <c r="C281" t="s">
        <v>583</v>
      </c>
      <c r="D281" t="s">
        <v>2</v>
      </c>
      <c r="E281">
        <v>2.94</v>
      </c>
      <c r="F281" s="3" t="s">
        <v>3</v>
      </c>
      <c r="G281" t="s">
        <v>786</v>
      </c>
      <c r="H281" s="4">
        <v>1.37</v>
      </c>
      <c r="I281" t="s">
        <v>787</v>
      </c>
      <c r="K281" s="20">
        <f>IF(C281="","",C281-((TRUNC((C281/1000000),0))*1000000))</f>
        <v>599307</v>
      </c>
      <c r="L281" s="20">
        <f ca="1">IF(A281="","",RANDBETWEEN(1,10))</f>
        <v>7</v>
      </c>
      <c r="M281" s="20" t="str">
        <f ca="1">IF(A281="","",IF(L281&lt;8,"calibracion","validacion"))</f>
        <v>calibracion</v>
      </c>
      <c r="N281" s="20" t="s">
        <v>825</v>
      </c>
    </row>
    <row r="282" spans="1:14" hidden="1" x14ac:dyDescent="0.25">
      <c r="A282" t="s">
        <v>584</v>
      </c>
      <c r="B282">
        <v>599311</v>
      </c>
      <c r="C282" t="s">
        <v>585</v>
      </c>
      <c r="D282" t="s">
        <v>2</v>
      </c>
      <c r="E282">
        <v>3.04</v>
      </c>
      <c r="F282" s="3" t="s">
        <v>3</v>
      </c>
      <c r="G282" t="s">
        <v>786</v>
      </c>
      <c r="H282" s="4">
        <v>1.78</v>
      </c>
      <c r="I282" t="s">
        <v>787</v>
      </c>
      <c r="K282" s="20">
        <f>IF(C282="","",C282-((TRUNC((C282/1000000),0))*1000000))</f>
        <v>599311</v>
      </c>
      <c r="L282" s="20">
        <f ca="1">IF(A282="","",RANDBETWEEN(1,10))</f>
        <v>2</v>
      </c>
      <c r="M282" s="20" t="str">
        <f ca="1">IF(A282="","",IF(L282&lt;8,"calibracion","validacion"))</f>
        <v>calibracion</v>
      </c>
      <c r="N282" s="20" t="s">
        <v>825</v>
      </c>
    </row>
    <row r="283" spans="1:14" hidden="1" x14ac:dyDescent="0.25">
      <c r="A283" t="s">
        <v>586</v>
      </c>
      <c r="B283">
        <v>599316</v>
      </c>
      <c r="C283" t="s">
        <v>587</v>
      </c>
      <c r="D283" t="s">
        <v>2</v>
      </c>
      <c r="E283">
        <v>2.84</v>
      </c>
      <c r="F283" s="3" t="s">
        <v>3</v>
      </c>
      <c r="G283" t="s">
        <v>786</v>
      </c>
      <c r="H283" s="4">
        <v>0.69</v>
      </c>
      <c r="I283" t="s">
        <v>787</v>
      </c>
      <c r="K283" s="20">
        <f>IF(C283="","",C283-((TRUNC((C283/1000000),0))*1000000))</f>
        <v>599316</v>
      </c>
      <c r="L283" s="20">
        <f ca="1">IF(A283="","",RANDBETWEEN(1,10))</f>
        <v>5</v>
      </c>
      <c r="M283" s="20" t="str">
        <f ca="1">IF(A283="","",IF(L283&lt;8,"calibracion","validacion"))</f>
        <v>calibracion</v>
      </c>
      <c r="N283" s="20" t="s">
        <v>825</v>
      </c>
    </row>
    <row r="284" spans="1:14" hidden="1" x14ac:dyDescent="0.25">
      <c r="A284" t="s">
        <v>588</v>
      </c>
      <c r="B284">
        <v>599318</v>
      </c>
      <c r="C284" t="s">
        <v>589</v>
      </c>
      <c r="D284" t="s">
        <v>2</v>
      </c>
      <c r="E284">
        <v>3.15</v>
      </c>
      <c r="F284" s="3" t="s">
        <v>3</v>
      </c>
      <c r="G284" t="s">
        <v>786</v>
      </c>
      <c r="H284" s="4">
        <v>0.6</v>
      </c>
      <c r="I284" t="s">
        <v>787</v>
      </c>
      <c r="K284" s="20">
        <f>IF(C284="","",C284-((TRUNC((C284/1000000),0))*1000000))</f>
        <v>599318</v>
      </c>
      <c r="L284" s="20">
        <f ca="1">IF(A284="","",RANDBETWEEN(1,10))</f>
        <v>3</v>
      </c>
      <c r="M284" s="20" t="str">
        <f ca="1">IF(A284="","",IF(L284&lt;8,"calibracion","validacion"))</f>
        <v>calibracion</v>
      </c>
      <c r="N284" s="20" t="s">
        <v>825</v>
      </c>
    </row>
    <row r="285" spans="1:14" hidden="1" x14ac:dyDescent="0.25">
      <c r="A285" t="s">
        <v>590</v>
      </c>
      <c r="B285">
        <v>599320</v>
      </c>
      <c r="C285" t="s">
        <v>591</v>
      </c>
      <c r="D285" t="s">
        <v>2</v>
      </c>
      <c r="E285">
        <v>3.21</v>
      </c>
      <c r="F285" s="3" t="s">
        <v>3</v>
      </c>
      <c r="G285" t="s">
        <v>786</v>
      </c>
      <c r="H285" s="4">
        <v>0.89</v>
      </c>
      <c r="I285" t="s">
        <v>787</v>
      </c>
      <c r="K285" s="20">
        <f>IF(C285="","",C285-((TRUNC((C285/1000000),0))*1000000))</f>
        <v>599320</v>
      </c>
      <c r="L285" s="20">
        <f ca="1">IF(A285="","",RANDBETWEEN(1,10))</f>
        <v>9</v>
      </c>
      <c r="M285" s="20" t="str">
        <f ca="1">IF(A285="","",IF(L285&lt;8,"calibracion","validacion"))</f>
        <v>validacion</v>
      </c>
      <c r="N285" s="20" t="s">
        <v>825</v>
      </c>
    </row>
    <row r="286" spans="1:14" hidden="1" x14ac:dyDescent="0.25">
      <c r="A286" t="s">
        <v>596</v>
      </c>
      <c r="B286">
        <v>615302</v>
      </c>
      <c r="C286" t="s">
        <v>597</v>
      </c>
      <c r="D286" t="s">
        <v>2</v>
      </c>
      <c r="E286">
        <v>2.8</v>
      </c>
      <c r="F286" s="3" t="s">
        <v>3</v>
      </c>
      <c r="G286" t="s">
        <v>786</v>
      </c>
      <c r="H286" s="4">
        <v>0.85</v>
      </c>
      <c r="I286" t="s">
        <v>787</v>
      </c>
      <c r="K286" s="20">
        <f>IF(C286="","",C286-((TRUNC((C286/1000000),0))*1000000))</f>
        <v>615302</v>
      </c>
      <c r="L286" s="20">
        <f ca="1">IF(A286="","",RANDBETWEEN(1,10))</f>
        <v>6</v>
      </c>
      <c r="M286" s="20" t="str">
        <f ca="1">IF(A286="","",IF(L286&lt;8,"calibracion","validacion"))</f>
        <v>calibracion</v>
      </c>
      <c r="N286" s="20" t="s">
        <v>825</v>
      </c>
    </row>
    <row r="287" spans="1:14" hidden="1" x14ac:dyDescent="0.25">
      <c r="A287" t="s">
        <v>598</v>
      </c>
      <c r="B287">
        <v>615303</v>
      </c>
      <c r="C287" t="s">
        <v>599</v>
      </c>
      <c r="D287" t="s">
        <v>2</v>
      </c>
      <c r="E287">
        <v>3.04</v>
      </c>
      <c r="F287" s="3" t="s">
        <v>3</v>
      </c>
      <c r="G287" t="s">
        <v>786</v>
      </c>
      <c r="H287" s="4">
        <v>0.46</v>
      </c>
      <c r="I287" t="s">
        <v>787</v>
      </c>
      <c r="K287" s="20">
        <f>IF(C287="","",C287-((TRUNC((C287/1000000),0))*1000000))</f>
        <v>615303</v>
      </c>
      <c r="L287" s="20">
        <f ca="1">IF(A287="","",RANDBETWEEN(1,10))</f>
        <v>6</v>
      </c>
      <c r="M287" s="20" t="str">
        <f ca="1">IF(A287="","",IF(L287&lt;8,"calibracion","validacion"))</f>
        <v>calibracion</v>
      </c>
      <c r="N287" s="20" t="s">
        <v>825</v>
      </c>
    </row>
    <row r="288" spans="1:14" hidden="1" x14ac:dyDescent="0.25">
      <c r="A288" t="s">
        <v>600</v>
      </c>
      <c r="B288">
        <v>615304</v>
      </c>
      <c r="C288" t="s">
        <v>601</v>
      </c>
      <c r="D288" t="s">
        <v>2</v>
      </c>
      <c r="E288">
        <v>2.72</v>
      </c>
      <c r="F288" s="3" t="s">
        <v>3</v>
      </c>
      <c r="G288" t="s">
        <v>786</v>
      </c>
      <c r="H288" s="4">
        <v>2.14</v>
      </c>
      <c r="I288" t="s">
        <v>787</v>
      </c>
      <c r="K288" s="20">
        <f>IF(C288="","",C288-((TRUNC((C288/1000000),0))*1000000))</f>
        <v>615304</v>
      </c>
      <c r="L288" s="20">
        <f ca="1">IF(A288="","",RANDBETWEEN(1,10))</f>
        <v>1</v>
      </c>
      <c r="M288" s="20" t="str">
        <f ca="1">IF(A288="","",IF(L288&lt;8,"calibracion","validacion"))</f>
        <v>calibracion</v>
      </c>
      <c r="N288" s="20" t="s">
        <v>825</v>
      </c>
    </row>
    <row r="289" spans="1:14" hidden="1" x14ac:dyDescent="0.25">
      <c r="A289" t="s">
        <v>594</v>
      </c>
      <c r="B289">
        <v>615307</v>
      </c>
      <c r="C289" t="s">
        <v>595</v>
      </c>
      <c r="D289" t="s">
        <v>2</v>
      </c>
      <c r="E289">
        <v>2.69</v>
      </c>
      <c r="F289" s="3" t="s">
        <v>3</v>
      </c>
      <c r="G289" t="s">
        <v>786</v>
      </c>
      <c r="H289" s="4">
        <v>1.31</v>
      </c>
      <c r="I289" t="s">
        <v>787</v>
      </c>
      <c r="K289" s="20">
        <f>IF(C289="","",C289-((TRUNC((C289/1000000),0))*1000000))</f>
        <v>615307</v>
      </c>
      <c r="L289" s="20">
        <f ca="1">IF(A289="","",RANDBETWEEN(1,10))</f>
        <v>3</v>
      </c>
      <c r="M289" s="20" t="str">
        <f ca="1">IF(A289="","",IF(L289&lt;8,"calibracion","validacion"))</f>
        <v>calibracion</v>
      </c>
      <c r="N289" s="20" t="s">
        <v>825</v>
      </c>
    </row>
    <row r="290" spans="1:14" hidden="1" x14ac:dyDescent="0.25">
      <c r="A290" t="s">
        <v>602</v>
      </c>
      <c r="B290">
        <v>615311</v>
      </c>
      <c r="C290" t="s">
        <v>603</v>
      </c>
      <c r="D290" t="s">
        <v>2</v>
      </c>
      <c r="E290">
        <v>3.08</v>
      </c>
      <c r="F290" s="3" t="s">
        <v>3</v>
      </c>
      <c r="G290" t="s">
        <v>786</v>
      </c>
      <c r="H290" s="4">
        <v>0.39</v>
      </c>
      <c r="I290" t="s">
        <v>787</v>
      </c>
      <c r="K290" s="20">
        <f>IF(C290="","",C290-((TRUNC((C290/1000000),0))*1000000))</f>
        <v>615311</v>
      </c>
      <c r="L290" s="20">
        <f ca="1">IF(A290="","",RANDBETWEEN(1,10))</f>
        <v>10</v>
      </c>
      <c r="M290" s="20" t="str">
        <f ca="1">IF(A290="","",IF(L290&lt;8,"calibracion","validacion"))</f>
        <v>validacion</v>
      </c>
      <c r="N290" s="20" t="s">
        <v>825</v>
      </c>
    </row>
    <row r="291" spans="1:14" hidden="1" x14ac:dyDescent="0.25">
      <c r="A291" t="s">
        <v>606</v>
      </c>
      <c r="B291">
        <v>615318</v>
      </c>
      <c r="C291" t="s">
        <v>607</v>
      </c>
      <c r="D291" t="s">
        <v>2</v>
      </c>
      <c r="E291">
        <v>3.02</v>
      </c>
      <c r="F291" s="3" t="s">
        <v>3</v>
      </c>
      <c r="G291" t="s">
        <v>786</v>
      </c>
      <c r="H291" s="4">
        <v>1.92</v>
      </c>
      <c r="I291" t="s">
        <v>787</v>
      </c>
      <c r="K291" s="20">
        <f>IF(C291="","",C291-((TRUNC((C291/1000000),0))*1000000))</f>
        <v>615318</v>
      </c>
      <c r="L291" s="20">
        <f ca="1">IF(A291="","",RANDBETWEEN(1,10))</f>
        <v>4</v>
      </c>
      <c r="M291" s="20" t="str">
        <f ca="1">IF(A291="","",IF(L291&lt;8,"calibracion","validacion"))</f>
        <v>calibracion</v>
      </c>
      <c r="N291" s="20" t="s">
        <v>825</v>
      </c>
    </row>
    <row r="292" spans="1:14" hidden="1" x14ac:dyDescent="0.25">
      <c r="A292" t="s">
        <v>608</v>
      </c>
      <c r="B292">
        <v>615320</v>
      </c>
      <c r="C292" t="s">
        <v>609</v>
      </c>
      <c r="D292" t="s">
        <v>2</v>
      </c>
      <c r="E292">
        <v>3.23</v>
      </c>
      <c r="F292" s="3" t="s">
        <v>3</v>
      </c>
      <c r="G292" t="s">
        <v>786</v>
      </c>
      <c r="H292" s="4">
        <v>0.42</v>
      </c>
      <c r="I292" t="s">
        <v>787</v>
      </c>
      <c r="K292" s="20">
        <f>IF(C292="","",C292-((TRUNC((C292/1000000),0))*1000000))</f>
        <v>615320</v>
      </c>
      <c r="L292" s="20">
        <f ca="1">IF(A292="","",RANDBETWEEN(1,10))</f>
        <v>4</v>
      </c>
      <c r="M292" s="20" t="str">
        <f ca="1">IF(A292="","",IF(L292&lt;8,"calibracion","validacion"))</f>
        <v>calibracion</v>
      </c>
      <c r="N292" s="20" t="s">
        <v>825</v>
      </c>
    </row>
    <row r="293" spans="1:14" hidden="1" x14ac:dyDescent="0.25">
      <c r="A293" t="s">
        <v>610</v>
      </c>
      <c r="B293">
        <v>615321</v>
      </c>
      <c r="C293" t="s">
        <v>611</v>
      </c>
      <c r="D293" t="s">
        <v>2</v>
      </c>
      <c r="E293">
        <v>2.2400000000000002</v>
      </c>
      <c r="F293" s="3" t="s">
        <v>3</v>
      </c>
      <c r="G293" t="s">
        <v>786</v>
      </c>
      <c r="H293" s="4">
        <v>0.56999999999999995</v>
      </c>
      <c r="I293" t="s">
        <v>787</v>
      </c>
      <c r="K293" s="20">
        <f>IF(C293="","",C293-((TRUNC((C293/1000000),0))*1000000))</f>
        <v>615321</v>
      </c>
      <c r="L293" s="20">
        <f ca="1">IF(A293="","",RANDBETWEEN(1,10))</f>
        <v>1</v>
      </c>
      <c r="M293" s="20" t="str">
        <f ca="1">IF(A293="","",IF(L293&lt;8,"calibracion","validacion"))</f>
        <v>calibracion</v>
      </c>
      <c r="N293" s="20" t="s">
        <v>825</v>
      </c>
    </row>
    <row r="294" spans="1:14" x14ac:dyDescent="0.25">
      <c r="A294" t="s">
        <v>604</v>
      </c>
      <c r="B294">
        <v>615322</v>
      </c>
      <c r="C294" t="s">
        <v>605</v>
      </c>
      <c r="D294" t="s">
        <v>2</v>
      </c>
      <c r="E294">
        <v>2.7</v>
      </c>
      <c r="F294" s="3" t="s">
        <v>3</v>
      </c>
      <c r="G294" t="s">
        <v>786</v>
      </c>
      <c r="H294" s="4">
        <v>1.05</v>
      </c>
      <c r="I294" t="s">
        <v>787</v>
      </c>
      <c r="K294" s="20">
        <f>IF(C294="","",C294-((TRUNC((C294/1000000),0))*1000000))</f>
        <v>615322</v>
      </c>
      <c r="L294" s="20">
        <f ca="1">IF(A294="","",RANDBETWEEN(1,10))</f>
        <v>8</v>
      </c>
      <c r="M294" s="20" t="str">
        <f ca="1">IF(A294="","",IF(L294&lt;8,"calibracion","validacion"))</f>
        <v>validacion</v>
      </c>
      <c r="N294" s="20" t="s">
        <v>824</v>
      </c>
    </row>
    <row r="295" spans="1:14" hidden="1" x14ac:dyDescent="0.25">
      <c r="A295" t="s">
        <v>592</v>
      </c>
      <c r="B295">
        <v>615325</v>
      </c>
      <c r="C295" t="s">
        <v>593</v>
      </c>
      <c r="D295" t="s">
        <v>2</v>
      </c>
      <c r="E295">
        <v>1.46</v>
      </c>
      <c r="F295" s="3" t="s">
        <v>3</v>
      </c>
      <c r="G295" t="s">
        <v>786</v>
      </c>
      <c r="H295" s="4">
        <v>0.54</v>
      </c>
      <c r="I295" t="s">
        <v>787</v>
      </c>
      <c r="K295" s="20">
        <f>IF(C295="","",C295-((TRUNC((C295/1000000),0))*1000000))</f>
        <v>615325</v>
      </c>
      <c r="L295" s="20">
        <f ca="1">IF(A295="","",RANDBETWEEN(1,10))</f>
        <v>9</v>
      </c>
      <c r="M295" s="20" t="str">
        <f ca="1">IF(A295="","",IF(L295&lt;8,"calibracion","validacion"))</f>
        <v>validacion</v>
      </c>
      <c r="N295" s="20" t="s">
        <v>825</v>
      </c>
    </row>
    <row r="296" spans="1:14" hidden="1" x14ac:dyDescent="0.25">
      <c r="A296" t="s">
        <v>612</v>
      </c>
      <c r="B296">
        <v>615328</v>
      </c>
      <c r="C296" t="s">
        <v>613</v>
      </c>
      <c r="D296" t="s">
        <v>2</v>
      </c>
      <c r="E296">
        <v>3.14</v>
      </c>
      <c r="F296" s="3" t="s">
        <v>3</v>
      </c>
      <c r="G296" t="s">
        <v>786</v>
      </c>
      <c r="H296" s="4">
        <v>0.49</v>
      </c>
      <c r="I296" t="s">
        <v>787</v>
      </c>
      <c r="K296" s="20">
        <f>IF(C296="","",C296-((TRUNC((C296/1000000),0))*1000000))</f>
        <v>615328</v>
      </c>
      <c r="L296" s="20">
        <f ca="1">IF(A296="","",RANDBETWEEN(1,10))</f>
        <v>8</v>
      </c>
      <c r="M296" s="20" t="str">
        <f ca="1">IF(A296="","",IF(L296&lt;8,"calibracion","validacion"))</f>
        <v>validacion</v>
      </c>
      <c r="N296" s="20" t="s">
        <v>825</v>
      </c>
    </row>
    <row r="297" spans="1:14" hidden="1" x14ac:dyDescent="0.25">
      <c r="A297" t="s">
        <v>614</v>
      </c>
      <c r="B297">
        <v>615333</v>
      </c>
      <c r="C297" t="s">
        <v>615</v>
      </c>
      <c r="D297" t="s">
        <v>2</v>
      </c>
      <c r="E297">
        <v>8.93</v>
      </c>
      <c r="F297" s="3" t="s">
        <v>3</v>
      </c>
      <c r="G297" t="s">
        <v>786</v>
      </c>
      <c r="H297" s="4">
        <v>0.41</v>
      </c>
      <c r="I297" t="s">
        <v>787</v>
      </c>
      <c r="K297" s="20">
        <f>IF(C297="","",C297-((TRUNC((C297/1000000),0))*1000000))</f>
        <v>615333</v>
      </c>
      <c r="L297" s="20">
        <f ca="1">IF(A297="","",RANDBETWEEN(1,10))</f>
        <v>3</v>
      </c>
      <c r="M297" s="20" t="str">
        <f ca="1">IF(A297="","",IF(L297&lt;8,"calibracion","validacion"))</f>
        <v>calibracion</v>
      </c>
      <c r="N297" s="20" t="s">
        <v>825</v>
      </c>
    </row>
    <row r="298" spans="1:14" x14ac:dyDescent="0.25">
      <c r="A298" t="s">
        <v>616</v>
      </c>
      <c r="B298">
        <v>615334</v>
      </c>
      <c r="C298" t="s">
        <v>617</v>
      </c>
      <c r="D298" t="s">
        <v>2</v>
      </c>
      <c r="E298">
        <v>3.25</v>
      </c>
      <c r="F298" s="3" t="s">
        <v>3</v>
      </c>
      <c r="G298" t="s">
        <v>786</v>
      </c>
      <c r="H298" s="4">
        <v>0.37</v>
      </c>
      <c r="I298" t="s">
        <v>787</v>
      </c>
      <c r="K298" s="20">
        <f>IF(C298="","",C298-((TRUNC((C298/1000000),0))*1000000))</f>
        <v>615334</v>
      </c>
      <c r="L298" s="20">
        <f ca="1">IF(A298="","",RANDBETWEEN(1,10))</f>
        <v>3</v>
      </c>
      <c r="M298" s="20" t="str">
        <f ca="1">IF(A298="","",IF(L298&lt;8,"calibracion","validacion"))</f>
        <v>calibracion</v>
      </c>
      <c r="N298" s="20" t="s">
        <v>824</v>
      </c>
    </row>
    <row r="299" spans="1:14" hidden="1" x14ac:dyDescent="0.25">
      <c r="A299" t="s">
        <v>618</v>
      </c>
      <c r="B299">
        <v>615335</v>
      </c>
      <c r="C299" t="s">
        <v>619</v>
      </c>
      <c r="D299" t="s">
        <v>2</v>
      </c>
      <c r="E299">
        <v>2.82</v>
      </c>
      <c r="F299" s="3" t="s">
        <v>3</v>
      </c>
      <c r="G299" t="s">
        <v>786</v>
      </c>
      <c r="H299" s="4">
        <v>0.62</v>
      </c>
      <c r="I299" t="s">
        <v>787</v>
      </c>
      <c r="K299" s="20">
        <f>IF(C299="","",C299-((TRUNC((C299/1000000),0))*1000000))</f>
        <v>615335</v>
      </c>
      <c r="L299" s="20">
        <f ca="1">IF(A299="","",RANDBETWEEN(1,10))</f>
        <v>4</v>
      </c>
      <c r="M299" s="20" t="str">
        <f ca="1">IF(A299="","",IF(L299&lt;8,"calibracion","validacion"))</f>
        <v>calibracion</v>
      </c>
      <c r="N299" s="20" t="s">
        <v>825</v>
      </c>
    </row>
    <row r="300" spans="1:14" hidden="1" x14ac:dyDescent="0.25">
      <c r="A300" t="s">
        <v>622</v>
      </c>
      <c r="B300">
        <v>615337</v>
      </c>
      <c r="C300" t="s">
        <v>623</v>
      </c>
      <c r="D300" t="s">
        <v>2</v>
      </c>
      <c r="E300">
        <v>2.83</v>
      </c>
      <c r="F300" s="3" t="s">
        <v>3</v>
      </c>
      <c r="G300" t="s">
        <v>786</v>
      </c>
      <c r="H300" s="4">
        <v>0.6</v>
      </c>
      <c r="I300" t="s">
        <v>787</v>
      </c>
      <c r="K300" s="20">
        <f>IF(C300="","",C300-((TRUNC((C300/1000000),0))*1000000))</f>
        <v>615337</v>
      </c>
      <c r="L300" s="20">
        <f ca="1">IF(A300="","",RANDBETWEEN(1,10))</f>
        <v>1</v>
      </c>
      <c r="M300" s="20" t="str">
        <f ca="1">IF(A300="","",IF(L300&lt;8,"calibracion","validacion"))</f>
        <v>calibracion</v>
      </c>
      <c r="N300" s="20" t="s">
        <v>825</v>
      </c>
    </row>
    <row r="301" spans="1:14" x14ac:dyDescent="0.25">
      <c r="A301" t="s">
        <v>620</v>
      </c>
      <c r="B301">
        <v>615338</v>
      </c>
      <c r="C301" t="s">
        <v>621</v>
      </c>
      <c r="D301" t="s">
        <v>2</v>
      </c>
      <c r="E301">
        <v>3.63</v>
      </c>
      <c r="F301" s="3" t="s">
        <v>3</v>
      </c>
      <c r="G301" t="s">
        <v>786</v>
      </c>
      <c r="H301" s="4">
        <v>0.52</v>
      </c>
      <c r="I301" t="s">
        <v>787</v>
      </c>
      <c r="K301" s="20">
        <f>IF(C301="","",C301-((TRUNC((C301/1000000),0))*1000000))</f>
        <v>615338</v>
      </c>
      <c r="L301" s="20">
        <f ca="1">IF(A301="","",RANDBETWEEN(1,10))</f>
        <v>5</v>
      </c>
      <c r="M301" s="20" t="str">
        <f ca="1">IF(A301="","",IF(L301&lt;8,"calibracion","validacion"))</f>
        <v>calibracion</v>
      </c>
      <c r="N301" s="20" t="s">
        <v>824</v>
      </c>
    </row>
    <row r="302" spans="1:14" hidden="1" x14ac:dyDescent="0.25">
      <c r="A302" t="s">
        <v>624</v>
      </c>
      <c r="B302">
        <v>620302</v>
      </c>
      <c r="C302" t="s">
        <v>625</v>
      </c>
      <c r="D302" t="s">
        <v>2</v>
      </c>
      <c r="E302">
        <v>7.06</v>
      </c>
      <c r="F302" s="3" t="s">
        <v>3</v>
      </c>
      <c r="G302" t="s">
        <v>786</v>
      </c>
      <c r="H302" s="4">
        <v>2.84</v>
      </c>
      <c r="I302" t="s">
        <v>787</v>
      </c>
      <c r="K302" s="20">
        <f>IF(C302="","",C302-((TRUNC((C302/1000000),0))*1000000))</f>
        <v>620302</v>
      </c>
      <c r="L302" s="20">
        <f ca="1">IF(A302="","",RANDBETWEEN(1,10))</f>
        <v>9</v>
      </c>
      <c r="M302" s="20" t="str">
        <f ca="1">IF(A302="","",IF(L302&lt;8,"calibracion","validacion"))</f>
        <v>validacion</v>
      </c>
      <c r="N302" s="20" t="s">
        <v>825</v>
      </c>
    </row>
    <row r="303" spans="1:14" hidden="1" x14ac:dyDescent="0.25">
      <c r="A303" t="s">
        <v>626</v>
      </c>
      <c r="B303">
        <v>620321</v>
      </c>
      <c r="C303" t="s">
        <v>627</v>
      </c>
      <c r="D303" t="s">
        <v>2</v>
      </c>
      <c r="E303">
        <v>3.32</v>
      </c>
      <c r="F303" s="3" t="s">
        <v>3</v>
      </c>
      <c r="G303" t="s">
        <v>786</v>
      </c>
      <c r="H303" s="4">
        <v>0.69</v>
      </c>
      <c r="I303" t="s">
        <v>787</v>
      </c>
      <c r="K303" s="20">
        <f>IF(C303="","",C303-((TRUNC((C303/1000000),0))*1000000))</f>
        <v>620321</v>
      </c>
      <c r="L303" s="20">
        <f ca="1">IF(A303="","",RANDBETWEEN(1,10))</f>
        <v>4</v>
      </c>
      <c r="M303" s="20" t="str">
        <f ca="1">IF(A303="","",IF(L303&lt;8,"calibracion","validacion"))</f>
        <v>calibracion</v>
      </c>
      <c r="N303" s="20" t="s">
        <v>825</v>
      </c>
    </row>
    <row r="304" spans="1:14" x14ac:dyDescent="0.25">
      <c r="A304" t="s">
        <v>628</v>
      </c>
      <c r="B304">
        <v>620324</v>
      </c>
      <c r="C304" t="s">
        <v>629</v>
      </c>
      <c r="D304" t="s">
        <v>2</v>
      </c>
      <c r="E304">
        <v>2.2799999999999998</v>
      </c>
      <c r="F304" s="3" t="s">
        <v>3</v>
      </c>
      <c r="G304" t="s">
        <v>786</v>
      </c>
      <c r="H304" s="4">
        <v>2.0299999999999998</v>
      </c>
      <c r="I304" t="s">
        <v>787</v>
      </c>
      <c r="K304" s="20">
        <f>IF(C304="","",C304-((TRUNC((C304/1000000),0))*1000000))</f>
        <v>620324</v>
      </c>
      <c r="L304" s="20">
        <f ca="1">IF(A304="","",RANDBETWEEN(1,10))</f>
        <v>1</v>
      </c>
      <c r="M304" s="20" t="str">
        <f ca="1">IF(A304="","",IF(L304&lt;8,"calibracion","validacion"))</f>
        <v>calibracion</v>
      </c>
      <c r="N304" s="20" t="s">
        <v>824</v>
      </c>
    </row>
    <row r="305" spans="1:14" hidden="1" x14ac:dyDescent="0.25">
      <c r="A305" t="s">
        <v>630</v>
      </c>
      <c r="B305">
        <v>620326</v>
      </c>
      <c r="C305" t="s">
        <v>631</v>
      </c>
      <c r="D305" t="s">
        <v>2</v>
      </c>
      <c r="E305">
        <v>4.41</v>
      </c>
      <c r="F305" s="3" t="s">
        <v>3</v>
      </c>
      <c r="G305" t="s">
        <v>786</v>
      </c>
      <c r="H305" s="4">
        <v>0.6</v>
      </c>
      <c r="I305" t="s">
        <v>787</v>
      </c>
      <c r="K305" s="20">
        <f>IF(C305="","",C305-((TRUNC((C305/1000000),0))*1000000))</f>
        <v>620326</v>
      </c>
      <c r="L305" s="20">
        <f ca="1">IF(A305="","",RANDBETWEEN(1,10))</f>
        <v>7</v>
      </c>
      <c r="M305" s="20" t="str">
        <f ca="1">IF(A305="","",IF(L305&lt;8,"calibracion","validacion"))</f>
        <v>calibracion</v>
      </c>
      <c r="N305" s="20" t="s">
        <v>825</v>
      </c>
    </row>
    <row r="306" spans="1:14" x14ac:dyDescent="0.25">
      <c r="A306" t="s">
        <v>632</v>
      </c>
      <c r="B306">
        <v>620328</v>
      </c>
      <c r="C306" t="s">
        <v>633</v>
      </c>
      <c r="D306" t="s">
        <v>2</v>
      </c>
      <c r="E306">
        <v>2.2000000000000002</v>
      </c>
      <c r="F306" s="3" t="s">
        <v>3</v>
      </c>
      <c r="G306" t="s">
        <v>786</v>
      </c>
      <c r="H306" s="4">
        <v>0.82</v>
      </c>
      <c r="I306" t="s">
        <v>787</v>
      </c>
      <c r="K306" s="20">
        <f>IF(C306="","",C306-((TRUNC((C306/1000000),0))*1000000))</f>
        <v>620328</v>
      </c>
      <c r="L306" s="20">
        <f ca="1">IF(A306="","",RANDBETWEEN(1,10))</f>
        <v>10</v>
      </c>
      <c r="M306" s="20" t="str">
        <f ca="1">IF(A306="","",IF(L306&lt;8,"calibracion","validacion"))</f>
        <v>validacion</v>
      </c>
      <c r="N306" s="20" t="s">
        <v>824</v>
      </c>
    </row>
    <row r="307" spans="1:14" hidden="1" x14ac:dyDescent="0.25">
      <c r="A307" t="s">
        <v>634</v>
      </c>
      <c r="B307">
        <v>620330</v>
      </c>
      <c r="C307" t="s">
        <v>635</v>
      </c>
      <c r="D307" t="s">
        <v>2</v>
      </c>
      <c r="E307">
        <v>3.66</v>
      </c>
      <c r="F307" s="3" t="s">
        <v>3</v>
      </c>
      <c r="G307" t="s">
        <v>786</v>
      </c>
      <c r="H307" s="4">
        <v>0.66</v>
      </c>
      <c r="I307" t="s">
        <v>787</v>
      </c>
      <c r="K307" s="20">
        <f>IF(C307="","",C307-((TRUNC((C307/1000000),0))*1000000))</f>
        <v>620330</v>
      </c>
      <c r="L307" s="20">
        <f ca="1">IF(A307="","",RANDBETWEEN(1,10))</f>
        <v>1</v>
      </c>
      <c r="M307" s="20" t="str">
        <f ca="1">IF(A307="","",IF(L307&lt;8,"calibracion","validacion"))</f>
        <v>calibracion</v>
      </c>
      <c r="N307" s="20" t="s">
        <v>825</v>
      </c>
    </row>
    <row r="308" spans="1:14" x14ac:dyDescent="0.25">
      <c r="A308" t="s">
        <v>636</v>
      </c>
      <c r="B308">
        <v>620332</v>
      </c>
      <c r="C308" t="s">
        <v>637</v>
      </c>
      <c r="D308" t="s">
        <v>2</v>
      </c>
      <c r="E308">
        <v>1.97</v>
      </c>
      <c r="F308" s="3" t="s">
        <v>3</v>
      </c>
      <c r="G308" t="s">
        <v>786</v>
      </c>
      <c r="H308" s="4">
        <v>1.84</v>
      </c>
      <c r="I308" t="s">
        <v>787</v>
      </c>
      <c r="K308" s="20">
        <f>IF(C308="","",C308-((TRUNC((C308/1000000),0))*1000000))</f>
        <v>620332</v>
      </c>
      <c r="L308" s="20">
        <f ca="1">IF(A308="","",RANDBETWEEN(1,10))</f>
        <v>9</v>
      </c>
      <c r="M308" s="20" t="str">
        <f ca="1">IF(A308="","",IF(L308&lt;8,"calibracion","validacion"))</f>
        <v>validacion</v>
      </c>
      <c r="N308" s="20" t="s">
        <v>824</v>
      </c>
    </row>
    <row r="309" spans="1:14" hidden="1" x14ac:dyDescent="0.25">
      <c r="A309" t="s">
        <v>638</v>
      </c>
      <c r="B309">
        <v>620334</v>
      </c>
      <c r="C309" t="s">
        <v>639</v>
      </c>
      <c r="D309" t="s">
        <v>2</v>
      </c>
      <c r="E309">
        <v>3.18</v>
      </c>
      <c r="F309" s="3" t="s">
        <v>3</v>
      </c>
      <c r="G309" t="s">
        <v>786</v>
      </c>
      <c r="H309" s="4">
        <v>0.73</v>
      </c>
      <c r="I309" t="s">
        <v>787</v>
      </c>
      <c r="K309" s="20">
        <f>IF(C309="","",C309-((TRUNC((C309/1000000),0))*1000000))</f>
        <v>620334</v>
      </c>
      <c r="L309" s="20">
        <f ca="1">IF(A309="","",RANDBETWEEN(1,10))</f>
        <v>3</v>
      </c>
      <c r="M309" s="20" t="str">
        <f ca="1">IF(A309="","",IF(L309&lt;8,"calibracion","validacion"))</f>
        <v>calibracion</v>
      </c>
      <c r="N309" s="20" t="s">
        <v>825</v>
      </c>
    </row>
    <row r="310" spans="1:14" hidden="1" x14ac:dyDescent="0.25">
      <c r="A310" t="s">
        <v>642</v>
      </c>
      <c r="B310">
        <v>625305</v>
      </c>
      <c r="C310" t="s">
        <v>643</v>
      </c>
      <c r="D310" t="s">
        <v>2</v>
      </c>
      <c r="E310">
        <v>4</v>
      </c>
      <c r="F310" s="3" t="s">
        <v>3</v>
      </c>
      <c r="G310" t="s">
        <v>786</v>
      </c>
      <c r="H310" s="4">
        <v>0.75</v>
      </c>
      <c r="I310" t="s">
        <v>787</v>
      </c>
      <c r="K310" s="20">
        <f>IF(C310="","",C310-((TRUNC((C310/1000000),0))*1000000))</f>
        <v>625305</v>
      </c>
      <c r="L310" s="20">
        <f ca="1">IF(A310="","",RANDBETWEEN(1,10))</f>
        <v>5</v>
      </c>
      <c r="M310" s="20" t="str">
        <f ca="1">IF(A310="","",IF(L310&lt;8,"calibracion","validacion"))</f>
        <v>calibracion</v>
      </c>
      <c r="N310" s="20" t="s">
        <v>825</v>
      </c>
    </row>
    <row r="311" spans="1:14" hidden="1" x14ac:dyDescent="0.25">
      <c r="A311" t="s">
        <v>644</v>
      </c>
      <c r="B311">
        <v>625306</v>
      </c>
      <c r="C311" t="s">
        <v>645</v>
      </c>
      <c r="D311" t="s">
        <v>2</v>
      </c>
      <c r="E311">
        <v>7.71</v>
      </c>
      <c r="F311" s="3" t="s">
        <v>3</v>
      </c>
      <c r="G311" t="s">
        <v>786</v>
      </c>
      <c r="H311" s="4">
        <v>0.56000000000000005</v>
      </c>
      <c r="I311" t="s">
        <v>787</v>
      </c>
      <c r="K311" s="20">
        <f>IF(C311="","",C311-((TRUNC((C311/1000000),0))*1000000))</f>
        <v>625306</v>
      </c>
      <c r="L311" s="20">
        <f ca="1">IF(A311="","",RANDBETWEEN(1,10))</f>
        <v>3</v>
      </c>
      <c r="M311" s="20" t="str">
        <f ca="1">IF(A311="","",IF(L311&lt;8,"calibracion","validacion"))</f>
        <v>calibracion</v>
      </c>
      <c r="N311" s="20" t="s">
        <v>825</v>
      </c>
    </row>
    <row r="312" spans="1:14" x14ac:dyDescent="0.25">
      <c r="A312" t="s">
        <v>646</v>
      </c>
      <c r="B312">
        <v>625307</v>
      </c>
      <c r="C312" t="s">
        <v>647</v>
      </c>
      <c r="D312" t="s">
        <v>2</v>
      </c>
      <c r="E312">
        <v>2.71</v>
      </c>
      <c r="F312" s="3" t="s">
        <v>3</v>
      </c>
      <c r="G312" t="s">
        <v>786</v>
      </c>
      <c r="H312" s="4">
        <v>0.46</v>
      </c>
      <c r="I312" t="s">
        <v>787</v>
      </c>
      <c r="K312" s="20">
        <f>IF(C312="","",C312-((TRUNC((C312/1000000),0))*1000000))</f>
        <v>625307</v>
      </c>
      <c r="L312" s="20">
        <f ca="1">IF(A312="","",RANDBETWEEN(1,10))</f>
        <v>4</v>
      </c>
      <c r="M312" s="20" t="str">
        <f ca="1">IF(A312="","",IF(L312&lt;8,"calibracion","validacion"))</f>
        <v>calibracion</v>
      </c>
      <c r="N312" s="20" t="s">
        <v>824</v>
      </c>
    </row>
    <row r="313" spans="1:14" hidden="1" x14ac:dyDescent="0.25">
      <c r="A313" t="s">
        <v>640</v>
      </c>
      <c r="B313">
        <v>625310</v>
      </c>
      <c r="C313" t="s">
        <v>641</v>
      </c>
      <c r="D313" t="s">
        <v>2</v>
      </c>
      <c r="E313">
        <v>7.16</v>
      </c>
      <c r="F313" s="3" t="s">
        <v>3</v>
      </c>
      <c r="G313" t="s">
        <v>786</v>
      </c>
      <c r="H313" s="4">
        <v>1.67</v>
      </c>
      <c r="I313" t="s">
        <v>787</v>
      </c>
      <c r="K313" s="20">
        <f>IF(C313="","",C313-((TRUNC((C313/1000000),0))*1000000))</f>
        <v>625310</v>
      </c>
      <c r="L313" s="20">
        <f ca="1">IF(A313="","",RANDBETWEEN(1,10))</f>
        <v>6</v>
      </c>
      <c r="M313" s="20" t="str">
        <f ca="1">IF(A313="","",IF(L313&lt;8,"calibracion","validacion"))</f>
        <v>calibracion</v>
      </c>
      <c r="N313" s="20" t="s">
        <v>825</v>
      </c>
    </row>
    <row r="314" spans="1:14" x14ac:dyDescent="0.25">
      <c r="A314" t="s">
        <v>648</v>
      </c>
      <c r="B314">
        <v>625320</v>
      </c>
      <c r="C314" t="s">
        <v>649</v>
      </c>
      <c r="D314" t="s">
        <v>2</v>
      </c>
      <c r="E314">
        <v>2.34</v>
      </c>
      <c r="F314" s="3" t="s">
        <v>3</v>
      </c>
      <c r="G314" t="s">
        <v>786</v>
      </c>
      <c r="H314" s="4">
        <v>0.65</v>
      </c>
      <c r="I314" t="s">
        <v>787</v>
      </c>
      <c r="K314" s="20">
        <f>IF(C314="","",C314-((TRUNC((C314/1000000),0))*1000000))</f>
        <v>625320</v>
      </c>
      <c r="L314" s="20">
        <f ca="1">IF(A314="","",RANDBETWEEN(1,10))</f>
        <v>10</v>
      </c>
      <c r="M314" s="20" t="str">
        <f ca="1">IF(A314="","",IF(L314&lt;8,"calibracion","validacion"))</f>
        <v>validacion</v>
      </c>
      <c r="N314" s="20" t="s">
        <v>824</v>
      </c>
    </row>
    <row r="315" spans="1:14" hidden="1" x14ac:dyDescent="0.25">
      <c r="A315" t="s">
        <v>652</v>
      </c>
      <c r="B315">
        <v>793327</v>
      </c>
      <c r="C315" t="s">
        <v>653</v>
      </c>
      <c r="D315" t="s">
        <v>2</v>
      </c>
      <c r="E315">
        <v>3.22</v>
      </c>
      <c r="F315" s="3" t="s">
        <v>3</v>
      </c>
      <c r="G315" t="s">
        <v>786</v>
      </c>
      <c r="H315" s="4">
        <v>0.59</v>
      </c>
      <c r="I315" t="s">
        <v>787</v>
      </c>
      <c r="K315" s="20">
        <f>IF(C315="","",C315-((TRUNC((C315/1000000),0))*1000000))</f>
        <v>793327</v>
      </c>
      <c r="L315" s="20">
        <f ca="1">IF(A315="","",RANDBETWEEN(1,10))</f>
        <v>9</v>
      </c>
      <c r="M315" s="20" t="str">
        <f ca="1">IF(A315="","",IF(L315&lt;8,"calibracion","validacion"))</f>
        <v>validacion</v>
      </c>
      <c r="N315" s="20" t="s">
        <v>825</v>
      </c>
    </row>
    <row r="316" spans="1:14" x14ac:dyDescent="0.25">
      <c r="A316" t="s">
        <v>650</v>
      </c>
      <c r="B316">
        <v>793331</v>
      </c>
      <c r="C316" t="s">
        <v>651</v>
      </c>
      <c r="D316" t="s">
        <v>2</v>
      </c>
      <c r="E316">
        <v>2.2200000000000002</v>
      </c>
      <c r="F316" s="3" t="s">
        <v>3</v>
      </c>
      <c r="G316" t="s">
        <v>786</v>
      </c>
      <c r="H316" s="4">
        <v>0.69</v>
      </c>
      <c r="I316" t="s">
        <v>787</v>
      </c>
      <c r="K316" s="20">
        <f>IF(C316="","",C316-((TRUNC((C316/1000000),0))*1000000))</f>
        <v>793331</v>
      </c>
      <c r="L316" s="20">
        <f ca="1">IF(A316="","",RANDBETWEEN(1,10))</f>
        <v>3</v>
      </c>
      <c r="M316" s="20" t="str">
        <f ca="1">IF(A316="","",IF(L316&lt;8,"calibracion","validacion"))</f>
        <v>calibracion</v>
      </c>
      <c r="N316" s="20" t="s">
        <v>824</v>
      </c>
    </row>
    <row r="317" spans="1:14" hidden="1" x14ac:dyDescent="0.25">
      <c r="A317" t="s">
        <v>658</v>
      </c>
      <c r="B317">
        <v>793336</v>
      </c>
      <c r="C317" t="s">
        <v>659</v>
      </c>
      <c r="D317" t="s">
        <v>2</v>
      </c>
      <c r="E317">
        <v>3.08</v>
      </c>
      <c r="F317" s="3" t="s">
        <v>3</v>
      </c>
      <c r="G317" t="s">
        <v>786</v>
      </c>
      <c r="H317" s="4">
        <v>0.63</v>
      </c>
      <c r="I317" t="s">
        <v>787</v>
      </c>
      <c r="K317" s="20">
        <f>IF(C317="","",C317-((TRUNC((C317/1000000),0))*1000000))</f>
        <v>793336</v>
      </c>
      <c r="L317" s="20">
        <f ca="1">IF(A317="","",RANDBETWEEN(1,10))</f>
        <v>3</v>
      </c>
      <c r="M317" s="20" t="str">
        <f ca="1">IF(A317="","",IF(L317&lt;8,"calibracion","validacion"))</f>
        <v>calibracion</v>
      </c>
      <c r="N317" s="20" t="s">
        <v>825</v>
      </c>
    </row>
    <row r="318" spans="1:14" hidden="1" x14ac:dyDescent="0.25">
      <c r="A318" t="s">
        <v>662</v>
      </c>
      <c r="B318">
        <v>793338</v>
      </c>
      <c r="C318" t="s">
        <v>663</v>
      </c>
      <c r="D318" t="s">
        <v>2</v>
      </c>
      <c r="E318">
        <v>3.16</v>
      </c>
      <c r="F318" s="3" t="s">
        <v>3</v>
      </c>
      <c r="G318" t="s">
        <v>786</v>
      </c>
      <c r="H318" s="4">
        <v>0.66</v>
      </c>
      <c r="I318" t="s">
        <v>787</v>
      </c>
      <c r="K318" s="20">
        <f>IF(C318="","",C318-((TRUNC((C318/1000000),0))*1000000))</f>
        <v>793338</v>
      </c>
      <c r="L318" s="20">
        <f ca="1">IF(A318="","",RANDBETWEEN(1,10))</f>
        <v>10</v>
      </c>
      <c r="M318" s="20" t="str">
        <f ca="1">IF(A318="","",IF(L318&lt;8,"calibracion","validacion"))</f>
        <v>validacion</v>
      </c>
      <c r="N318" s="20" t="s">
        <v>825</v>
      </c>
    </row>
    <row r="319" spans="1:14" x14ac:dyDescent="0.25">
      <c r="A319" t="s">
        <v>660</v>
      </c>
      <c r="B319">
        <v>793340</v>
      </c>
      <c r="C319" t="s">
        <v>661</v>
      </c>
      <c r="D319" t="s">
        <v>2</v>
      </c>
      <c r="E319">
        <v>3.25</v>
      </c>
      <c r="F319" s="3" t="s">
        <v>3</v>
      </c>
      <c r="G319" t="s">
        <v>786</v>
      </c>
      <c r="H319" s="4">
        <v>0.5</v>
      </c>
      <c r="I319" t="s">
        <v>787</v>
      </c>
      <c r="K319" s="20">
        <f>IF(C319="","",C319-((TRUNC((C319/1000000),0))*1000000))</f>
        <v>793340</v>
      </c>
      <c r="L319" s="20">
        <f ca="1">IF(A319="","",RANDBETWEEN(1,10))</f>
        <v>4</v>
      </c>
      <c r="M319" s="20" t="str">
        <f ca="1">IF(A319="","",IF(L319&lt;8,"calibracion","validacion"))</f>
        <v>calibracion</v>
      </c>
      <c r="N319" s="20" t="s">
        <v>824</v>
      </c>
    </row>
    <row r="320" spans="1:14" x14ac:dyDescent="0.25">
      <c r="A320" t="s">
        <v>664</v>
      </c>
      <c r="B320">
        <v>795302</v>
      </c>
      <c r="C320" t="s">
        <v>665</v>
      </c>
      <c r="D320" t="s">
        <v>2</v>
      </c>
      <c r="E320">
        <v>3.74</v>
      </c>
      <c r="F320" s="3" t="s">
        <v>3</v>
      </c>
      <c r="G320" t="s">
        <v>786</v>
      </c>
      <c r="H320" s="4">
        <v>0.67</v>
      </c>
      <c r="I320" t="s">
        <v>787</v>
      </c>
      <c r="K320" s="20">
        <f>IF(C320="","",C320-((TRUNC((C320/1000000),0))*1000000))</f>
        <v>795302</v>
      </c>
      <c r="L320" s="20">
        <f ca="1">IF(A320="","",RANDBETWEEN(1,10))</f>
        <v>9</v>
      </c>
      <c r="M320" s="20" t="str">
        <f ca="1">IF(A320="","",IF(L320&lt;8,"calibracion","validacion"))</f>
        <v>validacion</v>
      </c>
      <c r="N320" s="20" t="s">
        <v>824</v>
      </c>
    </row>
    <row r="321" spans="1:14" x14ac:dyDescent="0.25">
      <c r="A321" t="s">
        <v>666</v>
      </c>
      <c r="B321">
        <v>795303</v>
      </c>
      <c r="C321" t="s">
        <v>667</v>
      </c>
      <c r="D321" t="s">
        <v>2</v>
      </c>
      <c r="E321">
        <v>3.4</v>
      </c>
      <c r="F321" s="3" t="s">
        <v>3</v>
      </c>
      <c r="G321" t="s">
        <v>786</v>
      </c>
      <c r="H321" s="4">
        <v>0.54</v>
      </c>
      <c r="I321" t="s">
        <v>787</v>
      </c>
      <c r="K321" s="20">
        <f>IF(C321="","",C321-((TRUNC((C321/1000000),0))*1000000))</f>
        <v>795303</v>
      </c>
      <c r="L321" s="20">
        <f ca="1">IF(A321="","",RANDBETWEEN(1,10))</f>
        <v>1</v>
      </c>
      <c r="M321" s="20" t="str">
        <f ca="1">IF(A321="","",IF(L321&lt;8,"calibracion","validacion"))</f>
        <v>calibracion</v>
      </c>
      <c r="N321" s="20" t="s">
        <v>824</v>
      </c>
    </row>
    <row r="322" spans="1:14" hidden="1" x14ac:dyDescent="0.25">
      <c r="A322" t="s">
        <v>668</v>
      </c>
      <c r="B322">
        <v>795304</v>
      </c>
      <c r="C322" t="s">
        <v>669</v>
      </c>
      <c r="D322" t="s">
        <v>2</v>
      </c>
      <c r="E322">
        <v>2.82</v>
      </c>
      <c r="F322" s="3" t="s">
        <v>3</v>
      </c>
      <c r="G322" t="s">
        <v>786</v>
      </c>
      <c r="H322" s="4">
        <v>1.68</v>
      </c>
      <c r="I322" t="s">
        <v>787</v>
      </c>
      <c r="K322" s="20">
        <f>IF(C322="","",C322-((TRUNC((C322/1000000),0))*1000000))</f>
        <v>795304</v>
      </c>
      <c r="L322" s="20">
        <f ca="1">IF(A322="","",RANDBETWEEN(1,10))</f>
        <v>6</v>
      </c>
      <c r="M322" s="20" t="str">
        <f ca="1">IF(A322="","",IF(L322&lt;8,"calibracion","validacion"))</f>
        <v>calibracion</v>
      </c>
      <c r="N322" s="20" t="s">
        <v>825</v>
      </c>
    </row>
    <row r="323" spans="1:14" hidden="1" x14ac:dyDescent="0.25">
      <c r="A323" t="s">
        <v>656</v>
      </c>
      <c r="B323">
        <v>795306</v>
      </c>
      <c r="C323" t="s">
        <v>657</v>
      </c>
      <c r="D323" t="s">
        <v>2</v>
      </c>
      <c r="E323">
        <v>3.4</v>
      </c>
      <c r="F323" s="3" t="s">
        <v>3</v>
      </c>
      <c r="G323" t="s">
        <v>786</v>
      </c>
      <c r="H323" s="4">
        <v>0.39</v>
      </c>
      <c r="I323" t="s">
        <v>787</v>
      </c>
      <c r="K323" s="20">
        <f>IF(C323="","",C323-((TRUNC((C323/1000000),0))*1000000))</f>
        <v>795306</v>
      </c>
      <c r="L323" s="20">
        <f ca="1">IF(A323="","",RANDBETWEEN(1,10))</f>
        <v>4</v>
      </c>
      <c r="M323" s="20" t="str">
        <f ca="1">IF(A323="","",IF(L323&lt;8,"calibracion","validacion"))</f>
        <v>calibracion</v>
      </c>
      <c r="N323" s="20" t="s">
        <v>825</v>
      </c>
    </row>
    <row r="324" spans="1:14" hidden="1" x14ac:dyDescent="0.25">
      <c r="A324" t="s">
        <v>672</v>
      </c>
      <c r="B324">
        <v>795313</v>
      </c>
      <c r="C324" t="s">
        <v>673</v>
      </c>
      <c r="D324" t="s">
        <v>2</v>
      </c>
      <c r="E324">
        <v>3.57</v>
      </c>
      <c r="F324" s="3" t="s">
        <v>3</v>
      </c>
      <c r="G324" t="s">
        <v>786</v>
      </c>
      <c r="H324" s="4">
        <v>1.03</v>
      </c>
      <c r="I324" t="s">
        <v>787</v>
      </c>
      <c r="K324" s="20">
        <f>IF(C324="","",C324-((TRUNC((C324/1000000),0))*1000000))</f>
        <v>795313</v>
      </c>
      <c r="L324" s="20">
        <f ca="1">IF(A324="","",RANDBETWEEN(1,10))</f>
        <v>3</v>
      </c>
      <c r="M324" s="20" t="str">
        <f ca="1">IF(A324="","",IF(L324&lt;8,"calibracion","validacion"))</f>
        <v>calibracion</v>
      </c>
      <c r="N324" s="20" t="s">
        <v>825</v>
      </c>
    </row>
    <row r="325" spans="1:14" hidden="1" x14ac:dyDescent="0.25">
      <c r="A325" t="s">
        <v>674</v>
      </c>
      <c r="B325">
        <v>795314</v>
      </c>
      <c r="C325" t="s">
        <v>675</v>
      </c>
      <c r="D325" t="s">
        <v>2</v>
      </c>
      <c r="E325">
        <v>4.8</v>
      </c>
      <c r="F325" s="3" t="s">
        <v>3</v>
      </c>
      <c r="G325" t="s">
        <v>786</v>
      </c>
      <c r="H325" s="4">
        <v>1.6</v>
      </c>
      <c r="I325" t="s">
        <v>787</v>
      </c>
      <c r="K325" s="20">
        <f>IF(C325="","",C325-((TRUNC((C325/1000000),0))*1000000))</f>
        <v>795314</v>
      </c>
      <c r="L325" s="20">
        <f ca="1">IF(A325="","",RANDBETWEEN(1,10))</f>
        <v>10</v>
      </c>
      <c r="M325" s="20" t="str">
        <f ca="1">IF(A325="","",IF(L325&lt;8,"calibracion","validacion"))</f>
        <v>validacion</v>
      </c>
      <c r="N325" s="20" t="s">
        <v>825</v>
      </c>
    </row>
    <row r="326" spans="1:14" hidden="1" x14ac:dyDescent="0.25">
      <c r="A326" t="s">
        <v>676</v>
      </c>
      <c r="B326">
        <v>795316</v>
      </c>
      <c r="C326" t="s">
        <v>677</v>
      </c>
      <c r="D326" t="s">
        <v>2</v>
      </c>
      <c r="E326">
        <v>3.56</v>
      </c>
      <c r="F326" s="3" t="s">
        <v>3</v>
      </c>
      <c r="G326" t="s">
        <v>786</v>
      </c>
      <c r="H326" s="4">
        <v>0.55000000000000004</v>
      </c>
      <c r="I326" t="s">
        <v>787</v>
      </c>
      <c r="K326" s="20">
        <f>IF(C326="","",C326-((TRUNC((C326/1000000),0))*1000000))</f>
        <v>795316</v>
      </c>
      <c r="L326" s="20">
        <f ca="1">IF(A326="","",RANDBETWEEN(1,10))</f>
        <v>1</v>
      </c>
      <c r="M326" s="20" t="str">
        <f ca="1">IF(A326="","",IF(L326&lt;8,"calibracion","validacion"))</f>
        <v>calibracion</v>
      </c>
      <c r="N326" s="20" t="s">
        <v>825</v>
      </c>
    </row>
    <row r="327" spans="1:14" x14ac:dyDescent="0.25">
      <c r="A327" t="s">
        <v>670</v>
      </c>
      <c r="B327">
        <v>795317</v>
      </c>
      <c r="C327" t="s">
        <v>671</v>
      </c>
      <c r="D327" t="s">
        <v>2</v>
      </c>
      <c r="E327">
        <v>2.5</v>
      </c>
      <c r="F327" s="3" t="s">
        <v>3</v>
      </c>
      <c r="G327" t="s">
        <v>786</v>
      </c>
      <c r="H327" s="4">
        <v>2.61</v>
      </c>
      <c r="I327" t="s">
        <v>787</v>
      </c>
      <c r="K327" s="20">
        <f>IF(C327="","",C327-((TRUNC((C327/1000000),0))*1000000))</f>
        <v>795317</v>
      </c>
      <c r="L327" s="20">
        <f ca="1">IF(A327="","",RANDBETWEEN(1,10))</f>
        <v>9</v>
      </c>
      <c r="M327" s="20" t="str">
        <f ca="1">IF(A327="","",IF(L327&lt;8,"calibracion","validacion"))</f>
        <v>validacion</v>
      </c>
      <c r="N327" s="20" t="s">
        <v>824</v>
      </c>
    </row>
    <row r="328" spans="1:14" hidden="1" x14ac:dyDescent="0.25">
      <c r="A328" t="s">
        <v>678</v>
      </c>
      <c r="B328">
        <v>795318</v>
      </c>
      <c r="C328" t="s">
        <v>679</v>
      </c>
      <c r="D328" t="s">
        <v>2</v>
      </c>
      <c r="E328">
        <v>2.17</v>
      </c>
      <c r="F328" s="3" t="s">
        <v>3</v>
      </c>
      <c r="G328" t="s">
        <v>786</v>
      </c>
      <c r="H328" s="4">
        <v>1.57</v>
      </c>
      <c r="I328" t="s">
        <v>787</v>
      </c>
      <c r="K328" s="20">
        <f>IF(C328="","",C328-((TRUNC((C328/1000000),0))*1000000))</f>
        <v>795318</v>
      </c>
      <c r="L328" s="20">
        <f ca="1">IF(A328="","",RANDBETWEEN(1,10))</f>
        <v>8</v>
      </c>
      <c r="M328" s="20" t="str">
        <f ca="1">IF(A328="","",IF(L328&lt;8,"calibracion","validacion"))</f>
        <v>validacion</v>
      </c>
      <c r="N328" s="20" t="s">
        <v>825</v>
      </c>
    </row>
    <row r="329" spans="1:14" x14ac:dyDescent="0.25">
      <c r="A329" t="s">
        <v>680</v>
      </c>
      <c r="B329">
        <v>795319</v>
      </c>
      <c r="C329" t="s">
        <v>681</v>
      </c>
      <c r="D329" t="s">
        <v>2</v>
      </c>
      <c r="E329">
        <v>3.37</v>
      </c>
      <c r="F329" s="3" t="s">
        <v>3</v>
      </c>
      <c r="G329" t="s">
        <v>786</v>
      </c>
      <c r="H329" s="4">
        <v>0.36</v>
      </c>
      <c r="I329" t="s">
        <v>787</v>
      </c>
      <c r="K329" s="20">
        <f>IF(C329="","",C329-((TRUNC((C329/1000000),0))*1000000))</f>
        <v>795319</v>
      </c>
      <c r="L329" s="20">
        <f ca="1">IF(A329="","",RANDBETWEEN(1,10))</f>
        <v>5</v>
      </c>
      <c r="M329" s="20" t="str">
        <f ca="1">IF(A329="","",IF(L329&lt;8,"calibracion","validacion"))</f>
        <v>calibracion</v>
      </c>
      <c r="N329" s="20" t="s">
        <v>824</v>
      </c>
    </row>
    <row r="330" spans="1:14" hidden="1" x14ac:dyDescent="0.25">
      <c r="A330" t="s">
        <v>682</v>
      </c>
      <c r="B330">
        <v>795321</v>
      </c>
      <c r="C330" t="s">
        <v>683</v>
      </c>
      <c r="D330" t="s">
        <v>2</v>
      </c>
      <c r="E330">
        <v>3.48</v>
      </c>
      <c r="F330" s="3" t="s">
        <v>3</v>
      </c>
      <c r="G330" t="s">
        <v>786</v>
      </c>
      <c r="H330" s="4">
        <v>0.8</v>
      </c>
      <c r="I330" t="s">
        <v>787</v>
      </c>
      <c r="K330" s="20">
        <f>IF(C330="","",C330-((TRUNC((C330/1000000),0))*1000000))</f>
        <v>795321</v>
      </c>
      <c r="L330" s="20">
        <f ca="1">IF(A330="","",RANDBETWEEN(1,10))</f>
        <v>6</v>
      </c>
      <c r="M330" s="20" t="str">
        <f ca="1">IF(A330="","",IF(L330&lt;8,"calibracion","validacion"))</f>
        <v>calibracion</v>
      </c>
      <c r="N330" s="20" t="s">
        <v>825</v>
      </c>
    </row>
    <row r="331" spans="1:14" hidden="1" x14ac:dyDescent="0.25">
      <c r="A331" t="s">
        <v>686</v>
      </c>
      <c r="B331">
        <v>804331</v>
      </c>
      <c r="C331" t="s">
        <v>687</v>
      </c>
      <c r="D331" t="s">
        <v>2</v>
      </c>
      <c r="E331">
        <v>3.46</v>
      </c>
      <c r="F331" s="3" t="s">
        <v>3</v>
      </c>
      <c r="G331" t="s">
        <v>786</v>
      </c>
      <c r="H331" s="4">
        <v>1.45</v>
      </c>
      <c r="I331" t="s">
        <v>787</v>
      </c>
      <c r="K331" s="20">
        <f>IF(C331="","",C331-((TRUNC((C331/1000000),0))*1000000))</f>
        <v>804331</v>
      </c>
      <c r="L331" s="20">
        <f ca="1">IF(A331="","",RANDBETWEEN(1,10))</f>
        <v>3</v>
      </c>
      <c r="M331" s="20" t="str">
        <f ca="1">IF(A331="","",IF(L331&lt;8,"calibracion","validacion"))</f>
        <v>calibracion</v>
      </c>
      <c r="N331" s="20" t="s">
        <v>825</v>
      </c>
    </row>
    <row r="332" spans="1:14" hidden="1" x14ac:dyDescent="0.25">
      <c r="A332" t="s">
        <v>688</v>
      </c>
      <c r="B332">
        <v>804339</v>
      </c>
      <c r="C332" t="s">
        <v>689</v>
      </c>
      <c r="D332" t="s">
        <v>2</v>
      </c>
      <c r="E332">
        <v>3.28</v>
      </c>
      <c r="F332" s="3" t="s">
        <v>3</v>
      </c>
      <c r="G332" t="s">
        <v>786</v>
      </c>
      <c r="H332" s="4">
        <v>0.69</v>
      </c>
      <c r="I332" t="s">
        <v>787</v>
      </c>
      <c r="K332" s="20">
        <f>IF(C332="","",C332-((TRUNC((C332/1000000),0))*1000000))</f>
        <v>804339</v>
      </c>
      <c r="L332" s="20">
        <f ca="1">IF(A332="","",RANDBETWEEN(1,10))</f>
        <v>8</v>
      </c>
      <c r="M332" s="20" t="str">
        <f ca="1">IF(A332="","",IF(L332&lt;8,"calibracion","validacion"))</f>
        <v>validacion</v>
      </c>
      <c r="N332" s="20" t="s">
        <v>825</v>
      </c>
    </row>
    <row r="333" spans="1:14" hidden="1" x14ac:dyDescent="0.25">
      <c r="A333" t="s">
        <v>690</v>
      </c>
      <c r="B333">
        <v>804340</v>
      </c>
      <c r="C333" t="s">
        <v>691</v>
      </c>
      <c r="D333" t="s">
        <v>2</v>
      </c>
      <c r="E333">
        <v>3.36</v>
      </c>
      <c r="F333" s="3" t="s">
        <v>3</v>
      </c>
      <c r="G333" t="s">
        <v>786</v>
      </c>
      <c r="H333" s="4">
        <v>1.32</v>
      </c>
      <c r="I333" t="s">
        <v>787</v>
      </c>
      <c r="K333" s="20">
        <f>IF(C333="","",C333-((TRUNC((C333/1000000),0))*1000000))</f>
        <v>804340</v>
      </c>
      <c r="L333" s="20">
        <f ca="1">IF(A333="","",RANDBETWEEN(1,10))</f>
        <v>2</v>
      </c>
      <c r="M333" s="20" t="str">
        <f ca="1">IF(A333="","",IF(L333&lt;8,"calibracion","validacion"))</f>
        <v>calibracion</v>
      </c>
      <c r="N333" s="20" t="s">
        <v>825</v>
      </c>
    </row>
    <row r="334" spans="1:14" hidden="1" x14ac:dyDescent="0.25">
      <c r="A334" t="s">
        <v>684</v>
      </c>
      <c r="B334">
        <v>805317</v>
      </c>
      <c r="C334" t="s">
        <v>685</v>
      </c>
      <c r="D334" t="s">
        <v>2</v>
      </c>
      <c r="E334">
        <v>4.1399999999999997</v>
      </c>
      <c r="F334" s="3" t="s">
        <v>3</v>
      </c>
      <c r="G334" t="s">
        <v>786</v>
      </c>
      <c r="H334" s="4">
        <v>0.49</v>
      </c>
      <c r="I334" t="s">
        <v>787</v>
      </c>
      <c r="K334" s="20">
        <f>IF(C334="","",C334-((TRUNC((C334/1000000),0))*1000000))</f>
        <v>805317</v>
      </c>
      <c r="L334" s="20">
        <f ca="1">IF(A334="","",RANDBETWEEN(1,10))</f>
        <v>4</v>
      </c>
      <c r="M334" s="20" t="str">
        <f ca="1">IF(A334="","",IF(L334&lt;8,"calibracion","validacion"))</f>
        <v>calibracion</v>
      </c>
      <c r="N334" s="20" t="s">
        <v>825</v>
      </c>
    </row>
    <row r="335" spans="1:14" x14ac:dyDescent="0.25">
      <c r="A335" t="s">
        <v>692</v>
      </c>
      <c r="B335">
        <v>891323</v>
      </c>
      <c r="C335" t="s">
        <v>693</v>
      </c>
      <c r="D335" t="s">
        <v>2</v>
      </c>
      <c r="E335">
        <v>8.5399999999999991</v>
      </c>
      <c r="F335" s="3" t="s">
        <v>3</v>
      </c>
      <c r="G335" t="s">
        <v>786</v>
      </c>
      <c r="H335" s="4">
        <v>0.25</v>
      </c>
      <c r="I335" t="s">
        <v>787</v>
      </c>
      <c r="K335" s="20">
        <f>IF(C335="","",C335-((TRUNC((C335/1000000),0))*1000000))</f>
        <v>891323</v>
      </c>
      <c r="L335" s="20">
        <f ca="1">IF(A335="","",RANDBETWEEN(1,10))</f>
        <v>2</v>
      </c>
      <c r="M335" s="20" t="str">
        <f ca="1">IF(A335="","",IF(L335&lt;8,"calibracion","validacion"))</f>
        <v>calibracion</v>
      </c>
      <c r="N335" s="20" t="s">
        <v>824</v>
      </c>
    </row>
    <row r="336" spans="1:14" hidden="1" x14ac:dyDescent="0.25">
      <c r="A336" t="s">
        <v>694</v>
      </c>
      <c r="B336">
        <v>173339</v>
      </c>
      <c r="C336" t="s">
        <v>695</v>
      </c>
      <c r="D336" t="s">
        <v>2</v>
      </c>
      <c r="E336">
        <v>10.199999999999999</v>
      </c>
      <c r="F336" s="3" t="s">
        <v>3</v>
      </c>
      <c r="G336" t="s">
        <v>786</v>
      </c>
      <c r="H336" s="4">
        <v>0.09</v>
      </c>
      <c r="I336" t="s">
        <v>787</v>
      </c>
      <c r="K336" s="20">
        <f>IF(C336="","",C336-((TRUNC((C336/1000000),0))*1000000))</f>
        <v>173339</v>
      </c>
      <c r="L336" s="20">
        <f ca="1">IF(A336="","",RANDBETWEEN(1,10))</f>
        <v>3</v>
      </c>
      <c r="M336" s="20" t="str">
        <f ca="1">IF(A336="","",IF(L336&lt;8,"calibracion","validacion"))</f>
        <v>calibracion</v>
      </c>
      <c r="N336" s="20" t="s">
        <v>825</v>
      </c>
    </row>
    <row r="337" spans="1:14" hidden="1" x14ac:dyDescent="0.25">
      <c r="A337" t="s">
        <v>696</v>
      </c>
      <c r="B337">
        <v>174304</v>
      </c>
      <c r="C337" t="s">
        <v>697</v>
      </c>
      <c r="D337" t="s">
        <v>2</v>
      </c>
      <c r="E337">
        <v>8.27</v>
      </c>
      <c r="F337" s="3" t="s">
        <v>3</v>
      </c>
      <c r="G337" t="s">
        <v>786</v>
      </c>
      <c r="H337" s="4">
        <v>0.23</v>
      </c>
      <c r="I337" t="s">
        <v>787</v>
      </c>
      <c r="K337" s="20">
        <f>IF(C337="","",C337-((TRUNC((C337/1000000),0))*1000000))</f>
        <v>174304</v>
      </c>
      <c r="L337" s="20">
        <f ca="1">IF(A337="","",RANDBETWEEN(1,10))</f>
        <v>1</v>
      </c>
      <c r="M337" s="20" t="str">
        <f ca="1">IF(A337="","",IF(L337&lt;8,"calibracion","validacion"))</f>
        <v>calibracion</v>
      </c>
      <c r="N337" s="20" t="s">
        <v>825</v>
      </c>
    </row>
    <row r="338" spans="1:14" hidden="1" x14ac:dyDescent="0.25">
      <c r="A338" t="s">
        <v>698</v>
      </c>
      <c r="B338">
        <v>175304</v>
      </c>
      <c r="C338" t="s">
        <v>699</v>
      </c>
      <c r="D338" t="s">
        <v>2</v>
      </c>
      <c r="E338">
        <v>3.31</v>
      </c>
      <c r="F338" s="3" t="s">
        <v>3</v>
      </c>
      <c r="G338" t="s">
        <v>786</v>
      </c>
      <c r="H338" s="4">
        <v>0.69</v>
      </c>
      <c r="I338" t="s">
        <v>787</v>
      </c>
      <c r="K338" s="20">
        <f>IF(C338="","",C338-((TRUNC((C338/1000000),0))*1000000))</f>
        <v>175304</v>
      </c>
      <c r="L338" s="20">
        <f ca="1">IF(A338="","",RANDBETWEEN(1,10))</f>
        <v>2</v>
      </c>
      <c r="M338" s="20" t="str">
        <f ca="1">IF(A338="","",IF(L338&lt;8,"calibracion","validacion"))</f>
        <v>calibracion</v>
      </c>
      <c r="N338" s="20" t="s">
        <v>825</v>
      </c>
    </row>
    <row r="339" spans="1:14" hidden="1" x14ac:dyDescent="0.25">
      <c r="A339" t="s">
        <v>700</v>
      </c>
      <c r="B339">
        <v>175306</v>
      </c>
      <c r="C339" t="s">
        <v>701</v>
      </c>
      <c r="D339" t="s">
        <v>2</v>
      </c>
      <c r="E339">
        <v>2.87</v>
      </c>
      <c r="F339" s="3" t="s">
        <v>3</v>
      </c>
      <c r="G339" t="s">
        <v>786</v>
      </c>
      <c r="H339" s="4">
        <v>1.98</v>
      </c>
      <c r="I339" t="s">
        <v>787</v>
      </c>
      <c r="K339" s="20">
        <f>IF(C339="","",C339-((TRUNC((C339/1000000),0))*1000000))</f>
        <v>175306</v>
      </c>
      <c r="L339" s="20">
        <f ca="1">IF(A339="","",RANDBETWEEN(1,10))</f>
        <v>9</v>
      </c>
      <c r="M339" s="20" t="str">
        <f ca="1">IF(A339="","",IF(L339&lt;8,"calibracion","validacion"))</f>
        <v>validacion</v>
      </c>
      <c r="N339" s="20" t="s">
        <v>825</v>
      </c>
    </row>
    <row r="340" spans="1:14" hidden="1" x14ac:dyDescent="0.25">
      <c r="A340" t="s">
        <v>704</v>
      </c>
      <c r="B340">
        <v>175311</v>
      </c>
      <c r="C340" t="s">
        <v>705</v>
      </c>
      <c r="D340" t="s">
        <v>2</v>
      </c>
      <c r="E340">
        <v>3.76</v>
      </c>
      <c r="F340" s="3" t="s">
        <v>3</v>
      </c>
      <c r="G340" t="s">
        <v>786</v>
      </c>
      <c r="H340" s="4">
        <v>0.69</v>
      </c>
      <c r="I340" t="s">
        <v>787</v>
      </c>
      <c r="K340" s="20">
        <f>IF(C340="","",C340-((TRUNC((C340/1000000),0))*1000000))</f>
        <v>175311</v>
      </c>
      <c r="L340" s="20">
        <f ca="1">IF(A340="","",RANDBETWEEN(1,10))</f>
        <v>10</v>
      </c>
      <c r="M340" s="20" t="str">
        <f ca="1">IF(A340="","",IF(L340&lt;8,"calibracion","validacion"))</f>
        <v>validacion</v>
      </c>
      <c r="N340" s="20" t="s">
        <v>825</v>
      </c>
    </row>
    <row r="341" spans="1:14" hidden="1" x14ac:dyDescent="0.25">
      <c r="A341" t="s">
        <v>706</v>
      </c>
      <c r="B341">
        <v>175314</v>
      </c>
      <c r="C341" t="s">
        <v>707</v>
      </c>
      <c r="D341" t="s">
        <v>2</v>
      </c>
      <c r="E341">
        <v>4.05</v>
      </c>
      <c r="F341" s="3" t="s">
        <v>3</v>
      </c>
      <c r="G341" t="s">
        <v>786</v>
      </c>
      <c r="H341" s="4">
        <v>1.1299999999999999</v>
      </c>
      <c r="I341" t="s">
        <v>787</v>
      </c>
      <c r="K341" s="20">
        <f>IF(C341="","",C341-((TRUNC((C341/1000000),0))*1000000))</f>
        <v>175314</v>
      </c>
      <c r="L341" s="20">
        <f ca="1">IF(A341="","",RANDBETWEEN(1,10))</f>
        <v>9</v>
      </c>
      <c r="M341" s="20" t="str">
        <f ca="1">IF(A341="","",IF(L341&lt;8,"calibracion","validacion"))</f>
        <v>validacion</v>
      </c>
      <c r="N341" s="20" t="s">
        <v>825</v>
      </c>
    </row>
    <row r="342" spans="1:14" x14ac:dyDescent="0.25">
      <c r="A342" t="s">
        <v>708</v>
      </c>
      <c r="B342">
        <v>175315</v>
      </c>
      <c r="C342" t="s">
        <v>709</v>
      </c>
      <c r="D342" t="s">
        <v>2</v>
      </c>
      <c r="E342">
        <v>2.3199999999999998</v>
      </c>
      <c r="F342" s="3" t="s">
        <v>3</v>
      </c>
      <c r="G342" t="s">
        <v>786</v>
      </c>
      <c r="H342" s="4">
        <v>0.61</v>
      </c>
      <c r="I342" t="s">
        <v>797</v>
      </c>
      <c r="K342" s="20">
        <f>IF(C342="","",C342-((TRUNC((C342/1000000),0))*1000000))</f>
        <v>175315</v>
      </c>
      <c r="L342" s="20">
        <f ca="1">IF(A342="","",RANDBETWEEN(1,10))</f>
        <v>7</v>
      </c>
      <c r="M342" s="20" t="str">
        <f ca="1">IF(A342="","",IF(L342&lt;8,"calibracion","validacion"))</f>
        <v>calibracion</v>
      </c>
      <c r="N342" s="20" t="s">
        <v>824</v>
      </c>
    </row>
    <row r="343" spans="1:14" x14ac:dyDescent="0.25">
      <c r="A343" t="s">
        <v>710</v>
      </c>
      <c r="B343">
        <v>175316</v>
      </c>
      <c r="C343" t="s">
        <v>711</v>
      </c>
      <c r="D343" t="s">
        <v>2</v>
      </c>
      <c r="E343">
        <v>2.97</v>
      </c>
      <c r="F343" s="3" t="s">
        <v>3</v>
      </c>
      <c r="G343" t="s">
        <v>786</v>
      </c>
      <c r="H343" s="4">
        <v>0.88</v>
      </c>
      <c r="I343" t="s">
        <v>787</v>
      </c>
      <c r="K343" s="20">
        <f>IF(C343="","",C343-((TRUNC((C343/1000000),0))*1000000))</f>
        <v>175316</v>
      </c>
      <c r="L343" s="20">
        <f ca="1">IF(A343="","",RANDBETWEEN(1,10))</f>
        <v>5</v>
      </c>
      <c r="M343" s="20" t="str">
        <f ca="1">IF(A343="","",IF(L343&lt;8,"calibracion","validacion"))</f>
        <v>calibracion</v>
      </c>
      <c r="N343" s="20" t="s">
        <v>824</v>
      </c>
    </row>
    <row r="344" spans="1:14" hidden="1" x14ac:dyDescent="0.25">
      <c r="A344" t="s">
        <v>702</v>
      </c>
      <c r="B344">
        <v>175318</v>
      </c>
      <c r="C344" t="s">
        <v>703</v>
      </c>
      <c r="D344" t="s">
        <v>2</v>
      </c>
      <c r="E344">
        <v>3.35</v>
      </c>
      <c r="F344" s="3" t="s">
        <v>3</v>
      </c>
      <c r="G344" t="s">
        <v>786</v>
      </c>
      <c r="H344" s="4">
        <v>0.82</v>
      </c>
      <c r="I344" t="s">
        <v>787</v>
      </c>
      <c r="K344" s="20">
        <f>IF(C344="","",C344-((TRUNC((C344/1000000),0))*1000000))</f>
        <v>175318</v>
      </c>
      <c r="L344" s="20">
        <f ca="1">IF(A344="","",RANDBETWEEN(1,10))</f>
        <v>9</v>
      </c>
      <c r="M344" s="20" t="str">
        <f ca="1">IF(A344="","",IF(L344&lt;8,"calibracion","validacion"))</f>
        <v>validacion</v>
      </c>
      <c r="N344" s="20" t="s">
        <v>825</v>
      </c>
    </row>
    <row r="345" spans="1:14" x14ac:dyDescent="0.25">
      <c r="A345" t="s">
        <v>712</v>
      </c>
      <c r="B345">
        <v>175320</v>
      </c>
      <c r="C345" t="s">
        <v>713</v>
      </c>
      <c r="D345" t="s">
        <v>2</v>
      </c>
      <c r="E345">
        <v>3.69</v>
      </c>
      <c r="F345" s="3" t="s">
        <v>3</v>
      </c>
      <c r="G345" t="s">
        <v>786</v>
      </c>
      <c r="H345" s="4">
        <v>0.74</v>
      </c>
      <c r="I345" t="s">
        <v>787</v>
      </c>
      <c r="K345" s="20">
        <f>IF(C345="","",C345-((TRUNC((C345/1000000),0))*1000000))</f>
        <v>175320</v>
      </c>
      <c r="L345" s="20">
        <f ca="1">IF(A345="","",RANDBETWEEN(1,10))</f>
        <v>9</v>
      </c>
      <c r="M345" s="20" t="str">
        <f ca="1">IF(A345="","",IF(L345&lt;8,"calibracion","validacion"))</f>
        <v>validacion</v>
      </c>
      <c r="N345" s="20" t="s">
        <v>824</v>
      </c>
    </row>
    <row r="346" spans="1:14" hidden="1" x14ac:dyDescent="0.25">
      <c r="A346" t="s">
        <v>714</v>
      </c>
      <c r="B346">
        <v>175322</v>
      </c>
      <c r="C346" t="s">
        <v>715</v>
      </c>
      <c r="D346" t="s">
        <v>2</v>
      </c>
      <c r="E346">
        <v>4.13</v>
      </c>
      <c r="F346" s="3" t="s">
        <v>3</v>
      </c>
      <c r="G346" t="s">
        <v>786</v>
      </c>
      <c r="H346" s="4">
        <v>0.46</v>
      </c>
      <c r="I346" t="s">
        <v>787</v>
      </c>
      <c r="K346" s="20">
        <f>IF(C346="","",C346-((TRUNC((C346/1000000),0))*1000000))</f>
        <v>175322</v>
      </c>
      <c r="L346" s="20">
        <f ca="1">IF(A346="","",RANDBETWEEN(1,10))</f>
        <v>7</v>
      </c>
      <c r="M346" s="20" t="str">
        <f ca="1">IF(A346="","",IF(L346&lt;8,"calibracion","validacion"))</f>
        <v>calibracion</v>
      </c>
      <c r="N346" s="20" t="s">
        <v>825</v>
      </c>
    </row>
    <row r="347" spans="1:14" hidden="1" x14ac:dyDescent="0.25">
      <c r="A347" t="s">
        <v>718</v>
      </c>
      <c r="B347">
        <v>178301</v>
      </c>
      <c r="C347" t="s">
        <v>719</v>
      </c>
      <c r="D347" t="s">
        <v>2</v>
      </c>
      <c r="E347">
        <v>2.8</v>
      </c>
      <c r="F347" s="3" t="s">
        <v>3</v>
      </c>
      <c r="G347" t="s">
        <v>786</v>
      </c>
      <c r="H347" s="4">
        <v>1.95</v>
      </c>
      <c r="I347" t="s">
        <v>787</v>
      </c>
      <c r="K347" s="20">
        <f>IF(C347="","",C347-((TRUNC((C347/1000000),0))*1000000))</f>
        <v>178301</v>
      </c>
      <c r="L347" s="20">
        <f ca="1">IF(A347="","",RANDBETWEEN(1,10))</f>
        <v>10</v>
      </c>
      <c r="M347" s="20" t="str">
        <f ca="1">IF(A347="","",IF(L347&lt;8,"calibracion","validacion"))</f>
        <v>validacion</v>
      </c>
      <c r="N347" s="20" t="s">
        <v>825</v>
      </c>
    </row>
    <row r="348" spans="1:14" x14ac:dyDescent="0.25">
      <c r="A348" t="s">
        <v>716</v>
      </c>
      <c r="B348">
        <v>178302</v>
      </c>
      <c r="C348" t="s">
        <v>717</v>
      </c>
      <c r="D348" t="s">
        <v>2</v>
      </c>
      <c r="E348">
        <v>3.15</v>
      </c>
      <c r="F348" s="3" t="s">
        <v>3</v>
      </c>
      <c r="G348" t="s">
        <v>786</v>
      </c>
      <c r="H348" s="4">
        <v>0.37</v>
      </c>
      <c r="I348" t="s">
        <v>787</v>
      </c>
      <c r="K348" s="20">
        <f>IF(C348="","",C348-((TRUNC((C348/1000000),0))*1000000))</f>
        <v>178302</v>
      </c>
      <c r="L348" s="20">
        <f ca="1">IF(A348="","",RANDBETWEEN(1,10))</f>
        <v>2</v>
      </c>
      <c r="M348" s="20" t="str">
        <f ca="1">IF(A348="","",IF(L348&lt;8,"calibracion","validacion"))</f>
        <v>calibracion</v>
      </c>
      <c r="N348" s="20" t="s">
        <v>824</v>
      </c>
    </row>
    <row r="349" spans="1:14" x14ac:dyDescent="0.25">
      <c r="A349" t="s">
        <v>722</v>
      </c>
      <c r="B349">
        <v>178308</v>
      </c>
      <c r="C349" t="s">
        <v>723</v>
      </c>
      <c r="D349" t="s">
        <v>2</v>
      </c>
      <c r="E349">
        <v>3.66</v>
      </c>
      <c r="F349" s="3" t="s">
        <v>3</v>
      </c>
      <c r="G349" t="s">
        <v>786</v>
      </c>
      <c r="H349" s="4">
        <v>0.39</v>
      </c>
      <c r="I349" t="s">
        <v>787</v>
      </c>
      <c r="K349" s="20">
        <f>IF(C349="","",C349-((TRUNC((C349/1000000),0))*1000000))</f>
        <v>178308</v>
      </c>
      <c r="L349" s="20">
        <f ca="1">IF(A349="","",RANDBETWEEN(1,10))</f>
        <v>7</v>
      </c>
      <c r="M349" s="20" t="str">
        <f ca="1">IF(A349="","",IF(L349&lt;8,"calibracion","validacion"))</f>
        <v>calibracion</v>
      </c>
      <c r="N349" s="20" t="s">
        <v>824</v>
      </c>
    </row>
    <row r="350" spans="1:14" x14ac:dyDescent="0.25">
      <c r="A350" t="s">
        <v>720</v>
      </c>
      <c r="B350">
        <v>178312</v>
      </c>
      <c r="C350" t="s">
        <v>721</v>
      </c>
      <c r="D350" t="s">
        <v>2</v>
      </c>
      <c r="E350">
        <v>2.42</v>
      </c>
      <c r="F350" s="3" t="s">
        <v>3</v>
      </c>
      <c r="G350" t="s">
        <v>786</v>
      </c>
      <c r="H350" s="4">
        <v>0.37</v>
      </c>
      <c r="I350" t="s">
        <v>798</v>
      </c>
      <c r="K350" s="20">
        <f>IF(C350="","",C350-((TRUNC((C350/1000000),0))*1000000))</f>
        <v>178312</v>
      </c>
      <c r="L350" s="20">
        <f ca="1">IF(A350="","",RANDBETWEEN(1,10))</f>
        <v>8</v>
      </c>
      <c r="M350" s="20" t="str">
        <f ca="1">IF(A350="","",IF(L350&lt;8,"calibracion","validacion"))</f>
        <v>validacion</v>
      </c>
      <c r="N350" s="20" t="s">
        <v>824</v>
      </c>
    </row>
    <row r="351" spans="1:14" hidden="1" x14ac:dyDescent="0.25">
      <c r="A351" t="s">
        <v>724</v>
      </c>
      <c r="B351">
        <v>178314</v>
      </c>
      <c r="C351" t="s">
        <v>725</v>
      </c>
      <c r="D351" t="s">
        <v>2</v>
      </c>
      <c r="E351">
        <v>2.91</v>
      </c>
      <c r="F351" s="3" t="s">
        <v>3</v>
      </c>
      <c r="G351" t="s">
        <v>786</v>
      </c>
      <c r="H351" s="4">
        <v>1.41</v>
      </c>
      <c r="I351" t="s">
        <v>787</v>
      </c>
      <c r="K351" s="20">
        <f>IF(C351="","",C351-((TRUNC((C351/1000000),0))*1000000))</f>
        <v>178314</v>
      </c>
      <c r="L351" s="20">
        <f ca="1">IF(A351="","",RANDBETWEEN(1,10))</f>
        <v>4</v>
      </c>
      <c r="M351" s="20" t="str">
        <f ca="1">IF(A351="","",IF(L351&lt;8,"calibracion","validacion"))</f>
        <v>calibracion</v>
      </c>
      <c r="N351" s="20" t="s">
        <v>825</v>
      </c>
    </row>
    <row r="352" spans="1:14" hidden="1" x14ac:dyDescent="0.25">
      <c r="A352" t="s">
        <v>726</v>
      </c>
      <c r="B352">
        <v>178317</v>
      </c>
      <c r="C352" t="s">
        <v>727</v>
      </c>
      <c r="D352" t="s">
        <v>2</v>
      </c>
      <c r="E352">
        <v>2.8</v>
      </c>
      <c r="F352" s="3" t="s">
        <v>3</v>
      </c>
      <c r="G352" t="s">
        <v>786</v>
      </c>
      <c r="H352" s="4">
        <v>1.51</v>
      </c>
      <c r="I352" t="s">
        <v>787</v>
      </c>
      <c r="K352" s="20">
        <f>IF(C352="","",C352-((TRUNC((C352/1000000),0))*1000000))</f>
        <v>178317</v>
      </c>
      <c r="L352" s="20">
        <f ca="1">IF(A352="","",RANDBETWEEN(1,10))</f>
        <v>10</v>
      </c>
      <c r="M352" s="20" t="str">
        <f ca="1">IF(A352="","",IF(L352&lt;8,"calibracion","validacion"))</f>
        <v>validacion</v>
      </c>
      <c r="N352" s="20" t="s">
        <v>825</v>
      </c>
    </row>
    <row r="353" spans="1:14" hidden="1" x14ac:dyDescent="0.25">
      <c r="A353" t="s">
        <v>728</v>
      </c>
      <c r="B353">
        <v>178319</v>
      </c>
      <c r="C353" t="s">
        <v>729</v>
      </c>
      <c r="D353" t="s">
        <v>2</v>
      </c>
      <c r="E353">
        <v>2.56</v>
      </c>
      <c r="F353" s="3" t="s">
        <v>3</v>
      </c>
      <c r="G353" t="s">
        <v>786</v>
      </c>
      <c r="H353" s="4">
        <v>0.6</v>
      </c>
      <c r="I353" t="s">
        <v>799</v>
      </c>
      <c r="K353" s="20">
        <f>IF(C353="","",C353-((TRUNC((C353/1000000),0))*1000000))</f>
        <v>178319</v>
      </c>
      <c r="L353" s="20">
        <f ca="1">IF(A353="","",RANDBETWEEN(1,10))</f>
        <v>7</v>
      </c>
      <c r="M353" s="20" t="str">
        <f ca="1">IF(A353="","",IF(L353&lt;8,"calibracion","validacion"))</f>
        <v>calibracion</v>
      </c>
      <c r="N353" s="20" t="s">
        <v>825</v>
      </c>
    </row>
    <row r="354" spans="1:14" hidden="1" x14ac:dyDescent="0.25">
      <c r="A354" t="s">
        <v>730</v>
      </c>
      <c r="B354">
        <v>192322</v>
      </c>
      <c r="C354" t="s">
        <v>731</v>
      </c>
      <c r="D354" t="s">
        <v>2</v>
      </c>
      <c r="E354">
        <v>6.68</v>
      </c>
      <c r="F354" s="3" t="s">
        <v>3</v>
      </c>
      <c r="G354" t="s">
        <v>786</v>
      </c>
      <c r="H354" s="4">
        <v>0.33</v>
      </c>
      <c r="I354" t="s">
        <v>787</v>
      </c>
      <c r="K354" s="20">
        <f>IF(C354="","",C354-((TRUNC((C354/1000000),0))*1000000))</f>
        <v>192322</v>
      </c>
      <c r="L354" s="20">
        <f ca="1">IF(A354="","",RANDBETWEEN(1,10))</f>
        <v>7</v>
      </c>
      <c r="M354" s="20" t="str">
        <f ca="1">IF(A354="","",IF(L354&lt;8,"calibracion","validacion"))</f>
        <v>calibracion</v>
      </c>
      <c r="N354" s="20" t="s">
        <v>825</v>
      </c>
    </row>
    <row r="355" spans="1:14" hidden="1" x14ac:dyDescent="0.25">
      <c r="A355" t="s">
        <v>732</v>
      </c>
      <c r="B355">
        <v>418309</v>
      </c>
      <c r="C355" t="s">
        <v>733</v>
      </c>
      <c r="D355" t="s">
        <v>2</v>
      </c>
      <c r="E355">
        <v>3.54</v>
      </c>
      <c r="F355" s="3" t="s">
        <v>3</v>
      </c>
      <c r="G355" t="s">
        <v>786</v>
      </c>
      <c r="H355" s="4">
        <v>0.75</v>
      </c>
      <c r="I355" t="s">
        <v>787</v>
      </c>
      <c r="K355" s="20">
        <f>IF(C355="","",C355-((TRUNC((C355/1000000),0))*1000000))</f>
        <v>418309</v>
      </c>
      <c r="L355" s="20">
        <f ca="1">IF(A355="","",RANDBETWEEN(1,10))</f>
        <v>3</v>
      </c>
      <c r="M355" s="20" t="str">
        <f ca="1">IF(A355="","",IF(L355&lt;8,"calibracion","validacion"))</f>
        <v>calibracion</v>
      </c>
      <c r="N355" s="20" t="s">
        <v>825</v>
      </c>
    </row>
    <row r="356" spans="1:14" hidden="1" x14ac:dyDescent="0.25">
      <c r="A356" t="s">
        <v>734</v>
      </c>
      <c r="B356">
        <v>418315</v>
      </c>
      <c r="C356" t="s">
        <v>735</v>
      </c>
      <c r="D356" t="s">
        <v>2</v>
      </c>
      <c r="E356">
        <v>3.15</v>
      </c>
      <c r="F356" s="3" t="s">
        <v>3</v>
      </c>
      <c r="G356" t="s">
        <v>786</v>
      </c>
      <c r="H356" s="4">
        <v>0.66</v>
      </c>
      <c r="I356" t="s">
        <v>787</v>
      </c>
      <c r="K356" s="20">
        <f>IF(C356="","",C356-((TRUNC((C356/1000000),0))*1000000))</f>
        <v>418315</v>
      </c>
      <c r="L356" s="20">
        <f ca="1">IF(A356="","",RANDBETWEEN(1,10))</f>
        <v>3</v>
      </c>
      <c r="M356" s="20" t="str">
        <f ca="1">IF(A356="","",IF(L356&lt;8,"calibracion","validacion"))</f>
        <v>calibracion</v>
      </c>
      <c r="N356" s="20" t="s">
        <v>825</v>
      </c>
    </row>
    <row r="357" spans="1:14" hidden="1" x14ac:dyDescent="0.25">
      <c r="A357" t="s">
        <v>736</v>
      </c>
      <c r="B357">
        <v>418332</v>
      </c>
      <c r="C357" t="s">
        <v>737</v>
      </c>
      <c r="D357" t="s">
        <v>2</v>
      </c>
      <c r="E357">
        <v>2.88</v>
      </c>
      <c r="F357" s="3" t="s">
        <v>3</v>
      </c>
      <c r="G357" t="s">
        <v>786</v>
      </c>
      <c r="H357" s="4">
        <v>2.4700000000000002</v>
      </c>
      <c r="I357" t="s">
        <v>787</v>
      </c>
      <c r="K357" s="20">
        <f>IF(C357="","",C357-((TRUNC((C357/1000000),0))*1000000))</f>
        <v>418332</v>
      </c>
      <c r="L357" s="20">
        <f ca="1">IF(A357="","",RANDBETWEEN(1,10))</f>
        <v>7</v>
      </c>
      <c r="M357" s="20" t="str">
        <f ca="1">IF(A357="","",IF(L357&lt;8,"calibracion","validacion"))</f>
        <v>calibracion</v>
      </c>
      <c r="N357" s="20" t="s">
        <v>825</v>
      </c>
    </row>
    <row r="358" spans="1:14" hidden="1" x14ac:dyDescent="0.25">
      <c r="A358" t="s">
        <v>738</v>
      </c>
      <c r="B358">
        <v>418337</v>
      </c>
      <c r="C358" t="s">
        <v>739</v>
      </c>
      <c r="D358" t="s">
        <v>2</v>
      </c>
      <c r="E358">
        <v>3.5</v>
      </c>
      <c r="F358" s="3" t="s">
        <v>3</v>
      </c>
      <c r="G358" t="s">
        <v>786</v>
      </c>
      <c r="H358" s="4">
        <v>0.4</v>
      </c>
      <c r="I358" t="s">
        <v>787</v>
      </c>
      <c r="K358" s="20">
        <f>IF(C358="","",C358-((TRUNC((C358/1000000),0))*1000000))</f>
        <v>418337</v>
      </c>
      <c r="L358" s="20">
        <f ca="1">IF(A358="","",RANDBETWEEN(1,10))</f>
        <v>5</v>
      </c>
      <c r="M358" s="20" t="str">
        <f ca="1">IF(A358="","",IF(L358&lt;8,"calibracion","validacion"))</f>
        <v>calibracion</v>
      </c>
      <c r="N358" s="20" t="s">
        <v>825</v>
      </c>
    </row>
    <row r="359" spans="1:14" hidden="1" x14ac:dyDescent="0.25">
      <c r="A359" t="s">
        <v>740</v>
      </c>
      <c r="B359">
        <v>419311</v>
      </c>
      <c r="C359" t="s">
        <v>741</v>
      </c>
      <c r="D359" t="s">
        <v>2</v>
      </c>
      <c r="E359">
        <v>3.57</v>
      </c>
      <c r="F359" s="3" t="s">
        <v>3</v>
      </c>
      <c r="G359" t="s">
        <v>786</v>
      </c>
      <c r="H359" s="4">
        <v>0.44</v>
      </c>
      <c r="I359" t="s">
        <v>787</v>
      </c>
      <c r="K359" s="20">
        <f>IF(C359="","",C359-((TRUNC((C359/1000000),0))*1000000))</f>
        <v>419311</v>
      </c>
      <c r="L359" s="20">
        <f ca="1">IF(A359="","",RANDBETWEEN(1,10))</f>
        <v>1</v>
      </c>
      <c r="M359" s="20" t="str">
        <f ca="1">IF(A359="","",IF(L359&lt;8,"calibracion","validacion"))</f>
        <v>calibracion</v>
      </c>
      <c r="N359" s="20" t="s">
        <v>825</v>
      </c>
    </row>
    <row r="360" spans="1:14" hidden="1" x14ac:dyDescent="0.25">
      <c r="A360" t="s">
        <v>744</v>
      </c>
      <c r="B360">
        <v>419313</v>
      </c>
      <c r="C360" t="s">
        <v>745</v>
      </c>
      <c r="D360" t="s">
        <v>2</v>
      </c>
      <c r="E360">
        <v>3.11</v>
      </c>
      <c r="F360" s="3" t="s">
        <v>3</v>
      </c>
      <c r="G360" t="s">
        <v>786</v>
      </c>
      <c r="H360" s="4">
        <v>0.83</v>
      </c>
      <c r="I360" t="s">
        <v>787</v>
      </c>
      <c r="K360" s="20">
        <f>IF(C360="","",C360-((TRUNC((C360/1000000),0))*1000000))</f>
        <v>419313</v>
      </c>
      <c r="L360" s="20">
        <f ca="1">IF(A360="","",RANDBETWEEN(1,10))</f>
        <v>1</v>
      </c>
      <c r="M360" s="20" t="str">
        <f ca="1">IF(A360="","",IF(L360&lt;8,"calibracion","validacion"))</f>
        <v>calibracion</v>
      </c>
      <c r="N360" s="20" t="s">
        <v>825</v>
      </c>
    </row>
    <row r="361" spans="1:14" x14ac:dyDescent="0.25">
      <c r="A361" t="s">
        <v>746</v>
      </c>
      <c r="B361">
        <v>419328</v>
      </c>
      <c r="C361" t="s">
        <v>747</v>
      </c>
      <c r="D361" t="s">
        <v>2</v>
      </c>
      <c r="E361">
        <v>3.09</v>
      </c>
      <c r="F361" s="3" t="s">
        <v>3</v>
      </c>
      <c r="G361" t="s">
        <v>786</v>
      </c>
      <c r="H361" s="4">
        <v>1.26</v>
      </c>
      <c r="I361" t="s">
        <v>787</v>
      </c>
      <c r="K361" s="20">
        <f>IF(C361="","",C361-((TRUNC((C361/1000000),0))*1000000))</f>
        <v>419328</v>
      </c>
      <c r="L361" s="20">
        <f ca="1">IF(A361="","",RANDBETWEEN(1,10))</f>
        <v>10</v>
      </c>
      <c r="M361" s="20" t="str">
        <f ca="1">IF(A361="","",IF(L361&lt;8,"calibracion","validacion"))</f>
        <v>validacion</v>
      </c>
      <c r="N361" s="20" t="s">
        <v>824</v>
      </c>
    </row>
    <row r="362" spans="1:14" x14ac:dyDescent="0.25">
      <c r="A362" t="s">
        <v>756</v>
      </c>
      <c r="B362">
        <v>419335</v>
      </c>
      <c r="C362" t="s">
        <v>757</v>
      </c>
      <c r="D362" t="s">
        <v>2</v>
      </c>
      <c r="E362">
        <v>3.23</v>
      </c>
      <c r="F362" s="3" t="s">
        <v>3</v>
      </c>
      <c r="G362" t="s">
        <v>786</v>
      </c>
      <c r="H362" s="4">
        <v>0.97</v>
      </c>
      <c r="I362" t="s">
        <v>787</v>
      </c>
      <c r="K362" s="20">
        <f>IF(C362="","",C362-((TRUNC((C362/1000000),0))*1000000))</f>
        <v>419335</v>
      </c>
      <c r="L362" s="20">
        <f ca="1">IF(A362="","",RANDBETWEEN(1,10))</f>
        <v>7</v>
      </c>
      <c r="M362" s="20" t="str">
        <f ca="1">IF(A362="","",IF(L362&lt;8,"calibracion","validacion"))</f>
        <v>calibracion</v>
      </c>
      <c r="N362" s="20" t="s">
        <v>824</v>
      </c>
    </row>
    <row r="363" spans="1:14" hidden="1" x14ac:dyDescent="0.25">
      <c r="A363" t="s">
        <v>748</v>
      </c>
      <c r="B363">
        <v>421305</v>
      </c>
      <c r="C363" t="s">
        <v>749</v>
      </c>
      <c r="D363" t="s">
        <v>2</v>
      </c>
      <c r="E363">
        <v>3.33</v>
      </c>
      <c r="F363" s="3" t="s">
        <v>3</v>
      </c>
      <c r="G363" t="s">
        <v>786</v>
      </c>
      <c r="H363" s="4">
        <v>0.55000000000000004</v>
      </c>
      <c r="I363" t="s">
        <v>787</v>
      </c>
      <c r="K363" s="20">
        <f>IF(C363="","",C363-((TRUNC((C363/1000000),0))*1000000))</f>
        <v>421305</v>
      </c>
      <c r="L363" s="20">
        <f ca="1">IF(A363="","",RANDBETWEEN(1,10))</f>
        <v>3</v>
      </c>
      <c r="M363" s="20" t="str">
        <f ca="1">IF(A363="","",IF(L363&lt;8,"calibracion","validacion"))</f>
        <v>calibracion</v>
      </c>
      <c r="N363" s="20" t="s">
        <v>825</v>
      </c>
    </row>
    <row r="364" spans="1:14" hidden="1" x14ac:dyDescent="0.25">
      <c r="A364" t="s">
        <v>750</v>
      </c>
      <c r="B364">
        <v>421309</v>
      </c>
      <c r="C364" t="s">
        <v>751</v>
      </c>
      <c r="D364" t="s">
        <v>2</v>
      </c>
      <c r="E364">
        <v>4.12</v>
      </c>
      <c r="F364" s="3" t="s">
        <v>3</v>
      </c>
      <c r="G364" t="s">
        <v>786</v>
      </c>
      <c r="H364" s="4">
        <v>0.63</v>
      </c>
      <c r="I364" t="s">
        <v>787</v>
      </c>
      <c r="K364" s="20">
        <f>IF(C364="","",C364-((TRUNC((C364/1000000),0))*1000000))</f>
        <v>421309</v>
      </c>
      <c r="L364" s="20">
        <f ca="1">IF(A364="","",RANDBETWEEN(1,10))</f>
        <v>3</v>
      </c>
      <c r="M364" s="20" t="str">
        <f ca="1">IF(A364="","",IF(L364&lt;8,"calibracion","validacion"))</f>
        <v>calibracion</v>
      </c>
      <c r="N364" s="20" t="s">
        <v>825</v>
      </c>
    </row>
    <row r="365" spans="1:14" hidden="1" x14ac:dyDescent="0.25">
      <c r="A365" t="s">
        <v>752</v>
      </c>
      <c r="B365">
        <v>421314</v>
      </c>
      <c r="C365" t="s">
        <v>753</v>
      </c>
      <c r="D365" t="s">
        <v>2</v>
      </c>
      <c r="E365">
        <v>3.64</v>
      </c>
      <c r="F365" s="3" t="s">
        <v>3</v>
      </c>
      <c r="G365" t="s">
        <v>786</v>
      </c>
      <c r="H365" s="4">
        <v>0.73</v>
      </c>
      <c r="I365" t="s">
        <v>787</v>
      </c>
      <c r="K365" s="20">
        <f>IF(C365="","",C365-((TRUNC((C365/1000000),0))*1000000))</f>
        <v>421314</v>
      </c>
      <c r="L365" s="20">
        <f ca="1">IF(A365="","",RANDBETWEEN(1,10))</f>
        <v>5</v>
      </c>
      <c r="M365" s="20" t="str">
        <f ca="1">IF(A365="","",IF(L365&lt;8,"calibracion","validacion"))</f>
        <v>calibracion</v>
      </c>
      <c r="N365" s="20" t="s">
        <v>825</v>
      </c>
    </row>
    <row r="366" spans="1:14" hidden="1" x14ac:dyDescent="0.25">
      <c r="A366" t="s">
        <v>754</v>
      </c>
      <c r="B366">
        <v>421315</v>
      </c>
      <c r="C366" t="s">
        <v>755</v>
      </c>
      <c r="D366" t="s">
        <v>2</v>
      </c>
      <c r="E366">
        <v>2.76</v>
      </c>
      <c r="F366" s="3" t="s">
        <v>3</v>
      </c>
      <c r="G366" t="s">
        <v>786</v>
      </c>
      <c r="H366" s="4">
        <v>0.4</v>
      </c>
      <c r="I366" t="s">
        <v>787</v>
      </c>
      <c r="K366" s="20">
        <f>IF(C366="","",C366-((TRUNC((C366/1000000),0))*1000000))</f>
        <v>421315</v>
      </c>
      <c r="L366" s="20">
        <f ca="1">IF(A366="","",RANDBETWEEN(1,10))</f>
        <v>1</v>
      </c>
      <c r="M366" s="20" t="str">
        <f ca="1">IF(A366="","",IF(L366&lt;8,"calibracion","validacion"))</f>
        <v>calibracion</v>
      </c>
      <c r="N366" s="20" t="s">
        <v>825</v>
      </c>
    </row>
    <row r="367" spans="1:14" hidden="1" x14ac:dyDescent="0.25">
      <c r="A367" t="s">
        <v>742</v>
      </c>
      <c r="B367">
        <v>421318</v>
      </c>
      <c r="C367" t="s">
        <v>743</v>
      </c>
      <c r="D367" t="s">
        <v>2</v>
      </c>
      <c r="E367">
        <v>2.73</v>
      </c>
      <c r="F367" s="3" t="s">
        <v>3</v>
      </c>
      <c r="G367" t="s">
        <v>786</v>
      </c>
      <c r="H367" s="4">
        <v>0.38</v>
      </c>
      <c r="I367" t="s">
        <v>787</v>
      </c>
      <c r="K367" s="20">
        <f>IF(C367="","",C367-((TRUNC((C367/1000000),0))*1000000))</f>
        <v>421318</v>
      </c>
      <c r="L367" s="20">
        <f ca="1">IF(A367="","",RANDBETWEEN(1,10))</f>
        <v>3</v>
      </c>
      <c r="M367" s="20" t="str">
        <f ca="1">IF(A367="","",IF(L367&lt;8,"calibracion","validacion"))</f>
        <v>calibracion</v>
      </c>
      <c r="N367" s="20" t="s">
        <v>825</v>
      </c>
    </row>
    <row r="368" spans="1:14" hidden="1" x14ac:dyDescent="0.25">
      <c r="A368" t="s">
        <v>758</v>
      </c>
      <c r="B368">
        <v>422301</v>
      </c>
      <c r="C368" t="s">
        <v>759</v>
      </c>
      <c r="D368" t="s">
        <v>2</v>
      </c>
      <c r="E368">
        <v>3.23</v>
      </c>
      <c r="F368" s="3" t="s">
        <v>3</v>
      </c>
      <c r="G368" t="s">
        <v>786</v>
      </c>
      <c r="H368" s="4">
        <v>0.87</v>
      </c>
      <c r="I368" t="s">
        <v>787</v>
      </c>
      <c r="K368" s="20">
        <f>IF(C368="","",C368-((TRUNC((C368/1000000),0))*1000000))</f>
        <v>422301</v>
      </c>
      <c r="L368" s="20">
        <f ca="1">IF(A368="","",RANDBETWEEN(1,10))</f>
        <v>4</v>
      </c>
      <c r="M368" s="20" t="str">
        <f ca="1">IF(A368="","",IF(L368&lt;8,"calibracion","validacion"))</f>
        <v>calibracion</v>
      </c>
      <c r="N368" s="20" t="s">
        <v>825</v>
      </c>
    </row>
    <row r="369" spans="1:14" hidden="1" x14ac:dyDescent="0.25">
      <c r="A369" t="s">
        <v>762</v>
      </c>
      <c r="B369">
        <v>422306</v>
      </c>
      <c r="C369" t="s">
        <v>763</v>
      </c>
      <c r="D369" t="s">
        <v>2</v>
      </c>
      <c r="E369">
        <v>1.82</v>
      </c>
      <c r="F369" s="3" t="s">
        <v>3</v>
      </c>
      <c r="G369" t="s">
        <v>786</v>
      </c>
      <c r="H369" s="4">
        <v>0.18</v>
      </c>
      <c r="I369" t="s">
        <v>787</v>
      </c>
      <c r="K369" s="20">
        <f>IF(C369="","",C369-((TRUNC((C369/1000000),0))*1000000))</f>
        <v>422306</v>
      </c>
      <c r="L369" s="20">
        <f ca="1">IF(A369="","",RANDBETWEEN(1,10))</f>
        <v>6</v>
      </c>
      <c r="M369" s="20" t="str">
        <f ca="1">IF(A369="","",IF(L369&lt;8,"calibracion","validacion"))</f>
        <v>calibracion</v>
      </c>
      <c r="N369" s="20" t="s">
        <v>825</v>
      </c>
    </row>
    <row r="370" spans="1:14" x14ac:dyDescent="0.25">
      <c r="A370" t="s">
        <v>764</v>
      </c>
      <c r="B370">
        <v>422311</v>
      </c>
      <c r="C370" t="s">
        <v>765</v>
      </c>
      <c r="D370" t="s">
        <v>2</v>
      </c>
      <c r="E370">
        <v>3.81</v>
      </c>
      <c r="F370" s="3" t="s">
        <v>3</v>
      </c>
      <c r="G370" t="s">
        <v>786</v>
      </c>
      <c r="H370" s="4">
        <v>0.44</v>
      </c>
      <c r="I370" t="s">
        <v>787</v>
      </c>
      <c r="K370" s="20">
        <f>IF(C370="","",C370-((TRUNC((C370/1000000),0))*1000000))</f>
        <v>422311</v>
      </c>
      <c r="L370" s="20">
        <f ca="1">IF(A370="","",RANDBETWEEN(1,10))</f>
        <v>5</v>
      </c>
      <c r="M370" s="20" t="str">
        <f ca="1">IF(A370="","",IF(L370&lt;8,"calibracion","validacion"))</f>
        <v>calibracion</v>
      </c>
      <c r="N370" s="20" t="s">
        <v>824</v>
      </c>
    </row>
    <row r="371" spans="1:14" hidden="1" x14ac:dyDescent="0.25">
      <c r="A371" t="s">
        <v>766</v>
      </c>
      <c r="B371">
        <v>422314</v>
      </c>
      <c r="C371" t="s">
        <v>767</v>
      </c>
      <c r="D371" t="s">
        <v>2</v>
      </c>
      <c r="E371">
        <v>3.65</v>
      </c>
      <c r="F371" s="3" t="s">
        <v>3</v>
      </c>
      <c r="G371" t="s">
        <v>786</v>
      </c>
      <c r="H371" s="4">
        <v>0.71</v>
      </c>
      <c r="I371" t="s">
        <v>787</v>
      </c>
      <c r="K371" s="20">
        <f>IF(C371="","",C371-((TRUNC((C371/1000000),0))*1000000))</f>
        <v>422314</v>
      </c>
      <c r="L371" s="20">
        <f ca="1">IF(A371="","",RANDBETWEEN(1,10))</f>
        <v>10</v>
      </c>
      <c r="M371" s="20" t="str">
        <f ca="1">IF(A371="","",IF(L371&lt;8,"calibracion","validacion"))</f>
        <v>validacion</v>
      </c>
      <c r="N371" s="20" t="s">
        <v>825</v>
      </c>
    </row>
    <row r="372" spans="1:14" x14ac:dyDescent="0.25">
      <c r="A372" t="s">
        <v>768</v>
      </c>
      <c r="B372">
        <v>422322</v>
      </c>
      <c r="C372" t="s">
        <v>769</v>
      </c>
      <c r="D372" t="s">
        <v>2</v>
      </c>
      <c r="E372">
        <v>2.93</v>
      </c>
      <c r="F372" s="3" t="s">
        <v>3</v>
      </c>
      <c r="G372" t="s">
        <v>786</v>
      </c>
      <c r="H372" s="4">
        <v>0.38</v>
      </c>
      <c r="I372" t="s">
        <v>787</v>
      </c>
      <c r="K372" s="20">
        <f>IF(C372="","",C372-((TRUNC((C372/1000000),0))*1000000))</f>
        <v>422322</v>
      </c>
      <c r="L372" s="20">
        <f ca="1">IF(A372="","",RANDBETWEEN(1,10))</f>
        <v>7</v>
      </c>
      <c r="M372" s="20" t="str">
        <f ca="1">IF(A372="","",IF(L372&lt;8,"calibracion","validacion"))</f>
        <v>calibracion</v>
      </c>
      <c r="N372" s="20" t="s">
        <v>824</v>
      </c>
    </row>
    <row r="373" spans="1:14" hidden="1" x14ac:dyDescent="0.25">
      <c r="A373" t="s">
        <v>770</v>
      </c>
      <c r="B373">
        <v>429338</v>
      </c>
      <c r="C373" t="s">
        <v>771</v>
      </c>
      <c r="D373" t="s">
        <v>2</v>
      </c>
      <c r="E373">
        <v>3.63</v>
      </c>
      <c r="F373" s="3" t="s">
        <v>3</v>
      </c>
      <c r="G373" t="s">
        <v>786</v>
      </c>
      <c r="H373" s="4">
        <v>0.52</v>
      </c>
      <c r="I373" t="s">
        <v>787</v>
      </c>
      <c r="K373" s="20">
        <f>IF(C373="","",C373-((TRUNC((C373/1000000),0))*1000000))</f>
        <v>429338</v>
      </c>
      <c r="L373" s="20">
        <f ca="1">IF(A373="","",RANDBETWEEN(1,10))</f>
        <v>3</v>
      </c>
      <c r="M373" s="20" t="str">
        <f ca="1">IF(A373="","",IF(L373&lt;8,"calibracion","validacion"))</f>
        <v>calibracion</v>
      </c>
      <c r="N373" s="20" t="s">
        <v>825</v>
      </c>
    </row>
    <row r="374" spans="1:14" hidden="1" x14ac:dyDescent="0.25">
      <c r="A374" t="s">
        <v>772</v>
      </c>
      <c r="B374">
        <v>557304</v>
      </c>
      <c r="C374" t="s">
        <v>773</v>
      </c>
      <c r="D374" t="s">
        <v>2</v>
      </c>
      <c r="E374">
        <v>7.02</v>
      </c>
      <c r="F374" s="3" t="s">
        <v>3</v>
      </c>
      <c r="G374" t="s">
        <v>786</v>
      </c>
      <c r="H374" s="4">
        <v>0.22</v>
      </c>
      <c r="I374" t="s">
        <v>787</v>
      </c>
      <c r="K374" s="20">
        <f>IF(C374="","",C374-((TRUNC((C374/1000000),0))*1000000))</f>
        <v>557304</v>
      </c>
      <c r="L374" s="20">
        <f ca="1">IF(A374="","",RANDBETWEEN(1,10))</f>
        <v>4</v>
      </c>
      <c r="M374" s="20" t="str">
        <f ca="1">IF(A374="","",IF(L374&lt;8,"calibracion","validacion"))</f>
        <v>calibracion</v>
      </c>
      <c r="N374" s="20" t="s">
        <v>825</v>
      </c>
    </row>
    <row r="375" spans="1:14" hidden="1" x14ac:dyDescent="0.25">
      <c r="A375" t="s">
        <v>774</v>
      </c>
      <c r="B375">
        <v>561305</v>
      </c>
      <c r="C375" t="s">
        <v>775</v>
      </c>
      <c r="D375" t="s">
        <v>2</v>
      </c>
      <c r="E375">
        <v>9</v>
      </c>
      <c r="F375" s="3" t="s">
        <v>3</v>
      </c>
      <c r="G375" t="s">
        <v>786</v>
      </c>
      <c r="H375" s="4">
        <v>0.05</v>
      </c>
      <c r="I375" t="s">
        <v>787</v>
      </c>
      <c r="K375" s="20">
        <f>IF(C375="","",C375-((TRUNC((C375/1000000),0))*1000000))</f>
        <v>561305</v>
      </c>
      <c r="L375" s="20">
        <f ca="1">IF(A375="","",RANDBETWEEN(1,10))</f>
        <v>10</v>
      </c>
      <c r="M375" s="20" t="str">
        <f ca="1">IF(A375="","",IF(L375&lt;8,"calibracion","validacion"))</f>
        <v>validacion</v>
      </c>
      <c r="N375" s="20" t="s">
        <v>825</v>
      </c>
    </row>
    <row r="376" spans="1:14" hidden="1" x14ac:dyDescent="0.25">
      <c r="A376" t="s">
        <v>776</v>
      </c>
      <c r="B376">
        <v>584307</v>
      </c>
      <c r="C376" t="s">
        <v>777</v>
      </c>
      <c r="D376" t="s">
        <v>2</v>
      </c>
      <c r="E376">
        <v>1.1100000000000001</v>
      </c>
      <c r="F376" s="3" t="s">
        <v>3</v>
      </c>
      <c r="G376" t="s">
        <v>786</v>
      </c>
      <c r="H376" s="4">
        <v>0.2</v>
      </c>
      <c r="I376" t="s">
        <v>787</v>
      </c>
      <c r="J376" s="20">
        <f>COUNTIF(N:N,"calibracion")</f>
        <v>259</v>
      </c>
      <c r="K376" s="20">
        <f>IF(C376="","",C376-((TRUNC((C376/1000000),0))*1000000))</f>
        <v>584307</v>
      </c>
      <c r="L376" s="20">
        <f ca="1">IF(A376="","",RANDBETWEEN(1,10))</f>
        <v>1</v>
      </c>
      <c r="M376" s="20" t="str">
        <f ca="1">IF(A376="","",IF(L376&lt;8,"calibracion","validacion"))</f>
        <v>calibracion</v>
      </c>
      <c r="N376" s="20" t="s">
        <v>825</v>
      </c>
    </row>
    <row r="377" spans="1:14" hidden="1" x14ac:dyDescent="0.25">
      <c r="A377" t="s">
        <v>552</v>
      </c>
      <c r="B377">
        <v>161332</v>
      </c>
      <c r="C377" t="s">
        <v>553</v>
      </c>
      <c r="D377" t="s">
        <v>2</v>
      </c>
      <c r="E377">
        <v>3.05</v>
      </c>
      <c r="F377" s="3" t="s">
        <v>3</v>
      </c>
      <c r="G377" t="s">
        <v>786</v>
      </c>
      <c r="H377" s="4">
        <v>3.1</v>
      </c>
      <c r="I377" t="s">
        <v>787</v>
      </c>
      <c r="K377" s="20">
        <f>IF(C377="","",C377-((TRUNC((C377/1000000),0))*1000000))</f>
        <v>161332</v>
      </c>
      <c r="L377" s="20">
        <f ca="1">IF(A377="","",RANDBETWEEN(1,10))</f>
        <v>3</v>
      </c>
      <c r="M377" s="20" t="str">
        <f ca="1">IF(A377="","",IF(L377&lt;8,"calibracion","validacion"))</f>
        <v>calibracion</v>
      </c>
      <c r="N377" s="20" t="s">
        <v>825</v>
      </c>
    </row>
    <row r="378" spans="1:14" hidden="1" x14ac:dyDescent="0.25">
      <c r="A378" t="s">
        <v>164</v>
      </c>
      <c r="B378">
        <v>608307</v>
      </c>
      <c r="C378" t="s">
        <v>165</v>
      </c>
      <c r="D378" t="s">
        <v>2</v>
      </c>
      <c r="E378">
        <v>2.34</v>
      </c>
      <c r="F378" s="3" t="s">
        <v>3</v>
      </c>
      <c r="G378" t="s">
        <v>786</v>
      </c>
      <c r="H378" s="4">
        <v>3.13</v>
      </c>
      <c r="I378" t="s">
        <v>787</v>
      </c>
      <c r="K378" s="20">
        <f>IF(C378="","",C378-((TRUNC((C378/1000000),0))*1000000))</f>
        <v>608307</v>
      </c>
      <c r="L378" s="20">
        <f ca="1">IF(A378="","",RANDBETWEEN(1,10))</f>
        <v>7</v>
      </c>
      <c r="M378" s="20" t="str">
        <f ca="1">IF(A378="","",IF(L378&lt;8,"calibracion","validacion"))</f>
        <v>calibracion</v>
      </c>
      <c r="N378" s="20" t="s">
        <v>825</v>
      </c>
    </row>
    <row r="379" spans="1:14" hidden="1" x14ac:dyDescent="0.25">
      <c r="A379" t="s">
        <v>366</v>
      </c>
      <c r="B379">
        <v>748338</v>
      </c>
      <c r="C379" t="s">
        <v>367</v>
      </c>
      <c r="D379" t="s">
        <v>2</v>
      </c>
      <c r="E379">
        <v>3.08</v>
      </c>
      <c r="F379" s="3" t="s">
        <v>3</v>
      </c>
      <c r="G379" t="s">
        <v>786</v>
      </c>
      <c r="H379" s="4">
        <v>3.18</v>
      </c>
      <c r="I379" t="s">
        <v>787</v>
      </c>
      <c r="K379" s="20">
        <f>IF(C379="","",C379-((TRUNC((C379/1000000),0))*1000000))</f>
        <v>748338</v>
      </c>
      <c r="L379" s="20">
        <f ca="1">IF(A379="","",RANDBETWEEN(1,10))</f>
        <v>5</v>
      </c>
      <c r="M379" s="20" t="str">
        <f ca="1">IF(A379="","",IF(L379&lt;8,"calibracion","validacion"))</f>
        <v>calibracion</v>
      </c>
      <c r="N379" s="20" t="s">
        <v>825</v>
      </c>
    </row>
    <row r="380" spans="1:14" hidden="1" x14ac:dyDescent="0.25">
      <c r="A380" t="s">
        <v>760</v>
      </c>
      <c r="B380">
        <v>422319</v>
      </c>
      <c r="C380" t="s">
        <v>761</v>
      </c>
      <c r="D380" t="s">
        <v>2</v>
      </c>
      <c r="E380">
        <v>2.73</v>
      </c>
      <c r="F380" s="3" t="s">
        <v>3</v>
      </c>
      <c r="G380" t="s">
        <v>786</v>
      </c>
      <c r="H380" s="4">
        <v>3.35</v>
      </c>
      <c r="I380" t="s">
        <v>787</v>
      </c>
      <c r="K380" s="20">
        <f>IF(C380="","",C380-((TRUNC((C380/1000000),0))*1000000))</f>
        <v>422319</v>
      </c>
      <c r="L380" s="20">
        <f ca="1">IF(A380="","",RANDBETWEEN(1,10))</f>
        <v>5</v>
      </c>
      <c r="M380" s="20" t="str">
        <f ca="1">IF(A380="","",IF(L380&lt;8,"calibracion","validacion"))</f>
        <v>calibracion</v>
      </c>
      <c r="N380" s="20" t="s">
        <v>825</v>
      </c>
    </row>
    <row r="381" spans="1:14" hidden="1" x14ac:dyDescent="0.25">
      <c r="A381" t="s">
        <v>390</v>
      </c>
      <c r="B381">
        <v>749318</v>
      </c>
      <c r="C381" t="s">
        <v>391</v>
      </c>
      <c r="D381" t="s">
        <v>2</v>
      </c>
      <c r="E381">
        <v>2.0099999999999998</v>
      </c>
      <c r="F381" s="3" t="s">
        <v>3</v>
      </c>
      <c r="G381" t="s">
        <v>786</v>
      </c>
      <c r="H381" s="4">
        <v>3.38</v>
      </c>
      <c r="I381" t="s">
        <v>787</v>
      </c>
      <c r="K381" s="20">
        <f>IF(C381="","",C381-((TRUNC((C381/1000000),0))*1000000))</f>
        <v>749318</v>
      </c>
      <c r="L381" s="20">
        <f ca="1">IF(A381="","",RANDBETWEEN(1,10))</f>
        <v>1</v>
      </c>
      <c r="M381" s="20" t="str">
        <f ca="1">IF(A381="","",IF(L381&lt;8,"calibracion","validacion"))</f>
        <v>calibracion</v>
      </c>
      <c r="N381" s="20" t="s">
        <v>824</v>
      </c>
    </row>
    <row r="382" spans="1:14" hidden="1" x14ac:dyDescent="0.25">
      <c r="A382" t="s">
        <v>654</v>
      </c>
      <c r="B382">
        <v>793329</v>
      </c>
      <c r="C382" t="s">
        <v>655</v>
      </c>
      <c r="D382" t="s">
        <v>2</v>
      </c>
      <c r="E382">
        <v>2.86</v>
      </c>
      <c r="F382" s="3" t="s">
        <v>3</v>
      </c>
      <c r="G382" t="s">
        <v>786</v>
      </c>
      <c r="H382" s="4">
        <v>3.52</v>
      </c>
      <c r="I382" t="s">
        <v>787</v>
      </c>
      <c r="K382" s="20">
        <f>IF(C382="","",C382-((TRUNC((C382/1000000),0))*1000000))</f>
        <v>793329</v>
      </c>
      <c r="L382" s="20">
        <f ca="1">IF(A382="","",RANDBETWEEN(1,10))</f>
        <v>7</v>
      </c>
      <c r="M382" s="20" t="str">
        <f ca="1">IF(A382="","",IF(L382&lt;8,"calibracion","validacion"))</f>
        <v>calibracion</v>
      </c>
      <c r="N382" s="20" t="s">
        <v>825</v>
      </c>
    </row>
    <row r="383" spans="1:14" hidden="1" x14ac:dyDescent="0.25">
      <c r="A383" t="s">
        <v>542</v>
      </c>
      <c r="B383">
        <v>161326</v>
      </c>
      <c r="C383" t="s">
        <v>543</v>
      </c>
      <c r="D383" t="s">
        <v>2</v>
      </c>
      <c r="E383">
        <v>3.67</v>
      </c>
      <c r="F383" s="3" t="s">
        <v>3</v>
      </c>
      <c r="G383" t="s">
        <v>786</v>
      </c>
      <c r="H383" s="4">
        <v>3.66</v>
      </c>
      <c r="I383" t="s">
        <v>790</v>
      </c>
      <c r="K383" s="20">
        <f>IF(C383="","",C383-((TRUNC((C383/1000000),0))*1000000))</f>
        <v>161326</v>
      </c>
      <c r="L383" s="20">
        <f ca="1">IF(A383="","",RANDBETWEEN(1,10))</f>
        <v>7</v>
      </c>
      <c r="M383" s="20" t="str">
        <f ca="1">IF(A383="","",IF(L383&lt;8,"calibracion","validacion"))</f>
        <v>calibracion</v>
      </c>
      <c r="N383" s="20" t="s">
        <v>825</v>
      </c>
    </row>
    <row r="384" spans="1:14" hidden="1" x14ac:dyDescent="0.25">
      <c r="A384" t="s">
        <v>120</v>
      </c>
      <c r="B384">
        <v>836330</v>
      </c>
      <c r="C384" t="s">
        <v>121</v>
      </c>
      <c r="D384" t="s">
        <v>2</v>
      </c>
      <c r="E384">
        <v>3.01</v>
      </c>
      <c r="F384" s="3" t="s">
        <v>3</v>
      </c>
      <c r="G384" t="s">
        <v>786</v>
      </c>
      <c r="H384" s="4">
        <v>3.78</v>
      </c>
      <c r="I384" t="s">
        <v>787</v>
      </c>
      <c r="K384" s="20">
        <f>IF(C384="","",C384-((TRUNC((C384/1000000),0))*1000000))</f>
        <v>836330</v>
      </c>
      <c r="L384" s="20">
        <f ca="1">IF(A384="","",RANDBETWEEN(1,10))</f>
        <v>10</v>
      </c>
      <c r="M384" s="20" t="str">
        <f ca="1">IF(A384="","",IF(L384&lt;8,"calibracion","validacion"))</f>
        <v>validacion</v>
      </c>
      <c r="N384" s="20" t="s">
        <v>824</v>
      </c>
    </row>
    <row r="385" spans="1:14" hidden="1" x14ac:dyDescent="0.25">
      <c r="A385" t="s">
        <v>106</v>
      </c>
      <c r="B385">
        <v>719323</v>
      </c>
      <c r="C385" t="s">
        <v>107</v>
      </c>
      <c r="D385" t="s">
        <v>2</v>
      </c>
      <c r="E385">
        <v>2.69</v>
      </c>
      <c r="F385" s="3" t="s">
        <v>3</v>
      </c>
      <c r="G385" t="s">
        <v>786</v>
      </c>
      <c r="H385" s="4">
        <v>4.01</v>
      </c>
      <c r="I385" t="s">
        <v>793</v>
      </c>
      <c r="K385" s="20">
        <f>IF(C385="","",C385-((TRUNC((C385/1000000),0))*1000000))</f>
        <v>719323</v>
      </c>
      <c r="L385" s="20">
        <f ca="1">IF(A385="","",RANDBETWEEN(1,10))</f>
        <v>10</v>
      </c>
      <c r="M385" s="20" t="str">
        <f ca="1">IF(A385="","",IF(L385&lt;8,"calibracion","validacion"))</f>
        <v>validacion</v>
      </c>
      <c r="N385" s="20" t="s">
        <v>825</v>
      </c>
    </row>
    <row r="386" spans="1:14" hidden="1" x14ac:dyDescent="0.25">
      <c r="A386" t="s">
        <v>188</v>
      </c>
      <c r="B386">
        <v>608334</v>
      </c>
      <c r="C386" t="s">
        <v>189</v>
      </c>
      <c r="D386" t="s">
        <v>2</v>
      </c>
      <c r="E386">
        <v>3.21</v>
      </c>
      <c r="F386" s="3" t="s">
        <v>3</v>
      </c>
      <c r="G386" t="s">
        <v>786</v>
      </c>
      <c r="H386" s="4">
        <v>4.08</v>
      </c>
      <c r="I386" t="s">
        <v>788</v>
      </c>
      <c r="K386" s="20">
        <f>IF(C386="","",C386-((TRUNC((C386/1000000),0))*1000000))</f>
        <v>608334</v>
      </c>
      <c r="L386" s="20">
        <f ca="1">IF(A386="","",RANDBETWEEN(1,10))</f>
        <v>9</v>
      </c>
      <c r="M386" s="20" t="str">
        <f ca="1">IF(A386="","",IF(L386&lt;8,"calibracion","validacion"))</f>
        <v>validacion</v>
      </c>
      <c r="N386" s="20" t="s">
        <v>824</v>
      </c>
    </row>
    <row r="387" spans="1:14" hidden="1" x14ac:dyDescent="0.25">
      <c r="A387" t="s">
        <v>308</v>
      </c>
      <c r="B387">
        <v>522336</v>
      </c>
      <c r="C387" t="s">
        <v>309</v>
      </c>
      <c r="D387" t="s">
        <v>2</v>
      </c>
      <c r="E387">
        <v>3.07</v>
      </c>
      <c r="F387" s="3" t="s">
        <v>3</v>
      </c>
      <c r="G387" t="s">
        <v>786</v>
      </c>
      <c r="H387" s="4">
        <v>4.37</v>
      </c>
      <c r="I387" t="s">
        <v>795</v>
      </c>
      <c r="K387" s="20">
        <f>IF(C387="","",C387-((TRUNC((C387/1000000),0))*1000000))</f>
        <v>522336</v>
      </c>
      <c r="L387" s="20">
        <f ca="1">IF(A387="","",RANDBETWEEN(1,10))</f>
        <v>5</v>
      </c>
      <c r="M387" s="20" t="str">
        <f ca="1">IF(A387="","",IF(L387&lt;8,"calibracion","validacion"))</f>
        <v>calibracion</v>
      </c>
      <c r="N387" s="20" t="s">
        <v>824</v>
      </c>
    </row>
    <row r="388" spans="1:14" hidden="1" x14ac:dyDescent="0.25">
      <c r="A388" t="s">
        <v>514</v>
      </c>
      <c r="B388">
        <v>726326</v>
      </c>
      <c r="C388" t="s">
        <v>515</v>
      </c>
      <c r="D388" t="s">
        <v>2</v>
      </c>
      <c r="E388">
        <v>4.28</v>
      </c>
      <c r="F388" s="3" t="s">
        <v>3</v>
      </c>
      <c r="G388" t="s">
        <v>786</v>
      </c>
      <c r="H388" s="4">
        <v>5.68</v>
      </c>
      <c r="I388" t="s">
        <v>791</v>
      </c>
      <c r="K388" s="20">
        <f>IF(C388="","",C388-((TRUNC((C388/1000000),0))*1000000))</f>
        <v>726326</v>
      </c>
      <c r="L388" s="20">
        <f ca="1">IF(A388="","",RANDBETWEEN(1,10))</f>
        <v>8</v>
      </c>
      <c r="M388" s="20" t="str">
        <f ca="1">IF(A388="","",IF(L388&lt;8,"calibracion","validacion"))</f>
        <v>validacion</v>
      </c>
      <c r="N388" s="20" t="s">
        <v>825</v>
      </c>
    </row>
    <row r="389" spans="1:14" hidden="1" x14ac:dyDescent="0.25">
      <c r="A389" t="s">
        <v>326</v>
      </c>
      <c r="B389">
        <v>525301</v>
      </c>
      <c r="C389" t="s">
        <v>327</v>
      </c>
      <c r="D389" t="s">
        <v>2</v>
      </c>
      <c r="E389">
        <v>2.38</v>
      </c>
      <c r="F389" s="3" t="s">
        <v>3</v>
      </c>
      <c r="G389" t="s">
        <v>786</v>
      </c>
      <c r="H389" s="4">
        <v>6.48</v>
      </c>
      <c r="I389" t="s">
        <v>787</v>
      </c>
      <c r="K389" s="20">
        <f>IF(C389="","",C389-((TRUNC((C389/1000000),0))*1000000))</f>
        <v>525301</v>
      </c>
      <c r="L389" s="20">
        <f ca="1">IF(A389="","",RANDBETWEEN(1,10))</f>
        <v>4</v>
      </c>
      <c r="M389" s="20" t="str">
        <f ca="1">IF(A389="","",IF(L389&lt;8,"calibracion","validacion"))</f>
        <v>calibracion</v>
      </c>
      <c r="N389" s="20" t="s">
        <v>825</v>
      </c>
    </row>
    <row r="390" spans="1:14" hidden="1" x14ac:dyDescent="0.25">
      <c r="B390" t="s">
        <v>826</v>
      </c>
      <c r="K390" s="20" t="str">
        <f>IF(C390="","",C390-((TRUNC((C390/1000000),0))*1000000))</f>
        <v/>
      </c>
      <c r="L390" s="20" t="str">
        <f ca="1">IF(A390="","",RANDBETWEEN(1,10))</f>
        <v/>
      </c>
      <c r="M390" s="20" t="str">
        <f>IF(A390="","",IF(L390&lt;8,"calibracion","validacion"))</f>
        <v/>
      </c>
      <c r="N390" s="20" t="s">
        <v>826</v>
      </c>
    </row>
    <row r="391" spans="1:14" hidden="1" x14ac:dyDescent="0.25">
      <c r="B391" t="s">
        <v>826</v>
      </c>
      <c r="K391" s="20" t="str">
        <f>IF(C391="","",C391-((TRUNC((C391/1000000),0))*1000000))</f>
        <v/>
      </c>
      <c r="L391" s="20" t="str">
        <f ca="1">IF(A391="","",RANDBETWEEN(1,10))</f>
        <v/>
      </c>
      <c r="M391" s="20" t="str">
        <f>IF(A391="","",IF(L391&lt;8,"calibracion","validacion"))</f>
        <v/>
      </c>
      <c r="N391" s="20" t="s">
        <v>826</v>
      </c>
    </row>
    <row r="392" spans="1:14" hidden="1" x14ac:dyDescent="0.25">
      <c r="B392" t="s">
        <v>826</v>
      </c>
      <c r="K392" s="20" t="str">
        <f>IF(C392="","",C392-((TRUNC((C392/1000000),0))*1000000))</f>
        <v/>
      </c>
      <c r="L392" s="20" t="str">
        <f ca="1">IF(A392="","",RANDBETWEEN(1,10))</f>
        <v/>
      </c>
      <c r="M392" s="20" t="str">
        <f>IF(A392="","",IF(L392&lt;8,"calibracion","validacion"))</f>
        <v/>
      </c>
      <c r="N392" s="20" t="s">
        <v>826</v>
      </c>
    </row>
    <row r="393" spans="1:14" hidden="1" x14ac:dyDescent="0.25">
      <c r="B393" t="s">
        <v>826</v>
      </c>
      <c r="K393" s="20" t="str">
        <f>IF(C393="","",C393-((TRUNC((C393/1000000),0))*1000000))</f>
        <v/>
      </c>
      <c r="L393" s="20" t="str">
        <f ca="1">IF(A393="","",RANDBETWEEN(1,10))</f>
        <v/>
      </c>
      <c r="M393" s="20" t="str">
        <f>IF(A393="","",IF(L393&lt;8,"calibracion","validacion"))</f>
        <v/>
      </c>
      <c r="N393" s="20" t="s">
        <v>826</v>
      </c>
    </row>
    <row r="394" spans="1:14" hidden="1" x14ac:dyDescent="0.25">
      <c r="B394" t="s">
        <v>826</v>
      </c>
      <c r="K394" s="20" t="str">
        <f>IF(C394="","",C394-((TRUNC((C394/1000000),0))*1000000))</f>
        <v/>
      </c>
      <c r="L394" s="20" t="str">
        <f ca="1">IF(A394="","",RANDBETWEEN(1,10))</f>
        <v/>
      </c>
      <c r="M394" s="20" t="str">
        <f>IF(A394="","",IF(L394&lt;8,"calibracion","validacion"))</f>
        <v/>
      </c>
      <c r="N394" s="20" t="s">
        <v>826</v>
      </c>
    </row>
    <row r="395" spans="1:14" hidden="1" x14ac:dyDescent="0.25">
      <c r="B395" t="s">
        <v>826</v>
      </c>
      <c r="K395" s="20" t="str">
        <f>IF(C395="","",C395-((TRUNC((C395/1000000),0))*1000000))</f>
        <v/>
      </c>
      <c r="L395" s="20" t="str">
        <f ca="1">IF(A395="","",RANDBETWEEN(1,10))</f>
        <v/>
      </c>
      <c r="M395" s="20" t="str">
        <f>IF(A395="","",IF(L395&lt;8,"calibracion","validacion"))</f>
        <v/>
      </c>
      <c r="N395" s="20" t="s">
        <v>826</v>
      </c>
    </row>
    <row r="396" spans="1:14" hidden="1" x14ac:dyDescent="0.25">
      <c r="B396" t="s">
        <v>826</v>
      </c>
      <c r="K396" s="20" t="str">
        <f>IF(C396="","",C396-((TRUNC((C396/1000000),0))*1000000))</f>
        <v/>
      </c>
      <c r="L396" s="20" t="str">
        <f ca="1">IF(A396="","",RANDBETWEEN(1,10))</f>
        <v/>
      </c>
      <c r="M396" s="20" t="str">
        <f>IF(A396="","",IF(L396&lt;8,"calibracion","validacion"))</f>
        <v/>
      </c>
      <c r="N396" s="20" t="s">
        <v>826</v>
      </c>
    </row>
    <row r="397" spans="1:14" hidden="1" x14ac:dyDescent="0.25">
      <c r="B397" t="s">
        <v>826</v>
      </c>
      <c r="K397" s="20" t="str">
        <f>IF(C397="","",C397-((TRUNC((C397/1000000),0))*1000000))</f>
        <v/>
      </c>
      <c r="L397" s="20" t="str">
        <f ca="1">IF(A397="","",RANDBETWEEN(1,10))</f>
        <v/>
      </c>
      <c r="M397" s="20" t="str">
        <f>IF(A397="","",IF(L397&lt;8,"calibracion","validacion"))</f>
        <v/>
      </c>
      <c r="N397" s="20" t="s">
        <v>826</v>
      </c>
    </row>
    <row r="398" spans="1:14" hidden="1" x14ac:dyDescent="0.25">
      <c r="B398" t="s">
        <v>826</v>
      </c>
      <c r="K398" s="20" t="str">
        <f>IF(C398="","",C398-((TRUNC((C398/1000000),0))*1000000))</f>
        <v/>
      </c>
      <c r="L398" s="20" t="str">
        <f ca="1">IF(A398="","",RANDBETWEEN(1,10))</f>
        <v/>
      </c>
      <c r="M398" s="20" t="str">
        <f>IF(A398="","",IF(L398&lt;8,"calibracion","validacion"))</f>
        <v/>
      </c>
      <c r="N398" s="20" t="s">
        <v>826</v>
      </c>
    </row>
    <row r="399" spans="1:14" hidden="1" x14ac:dyDescent="0.25">
      <c r="B399" t="s">
        <v>826</v>
      </c>
      <c r="K399" s="20" t="str">
        <f>IF(C399="","",C399-((TRUNC((C399/1000000),0))*1000000))</f>
        <v/>
      </c>
      <c r="L399" s="20" t="str">
        <f ca="1">IF(A399="","",RANDBETWEEN(1,10))</f>
        <v/>
      </c>
      <c r="M399" s="20" t="str">
        <f>IF(A399="","",IF(L399&lt;8,"calibracion","validacion"))</f>
        <v/>
      </c>
      <c r="N399" s="20" t="s">
        <v>826</v>
      </c>
    </row>
    <row r="400" spans="1:14" hidden="1" x14ac:dyDescent="0.25">
      <c r="B400" t="s">
        <v>826</v>
      </c>
      <c r="K400" s="20" t="str">
        <f>IF(C400="","",C400-((TRUNC((C400/1000000),0))*1000000))</f>
        <v/>
      </c>
      <c r="L400" s="20" t="str">
        <f ca="1">IF(A400="","",RANDBETWEEN(1,10))</f>
        <v/>
      </c>
      <c r="M400" s="20" t="str">
        <f>IF(A400="","",IF(L400&lt;8,"calibracion","validacion"))</f>
        <v/>
      </c>
      <c r="N400" s="20" t="s">
        <v>826</v>
      </c>
    </row>
    <row r="401" spans="2:14" hidden="1" x14ac:dyDescent="0.25">
      <c r="B401" t="s">
        <v>826</v>
      </c>
      <c r="K401" s="20" t="str">
        <f>IF(C401="","",C401-((TRUNC((C401/1000000),0))*1000000))</f>
        <v/>
      </c>
      <c r="L401" s="20" t="str">
        <f ca="1">IF(A401="","",RANDBETWEEN(1,10))</f>
        <v/>
      </c>
      <c r="M401" s="20" t="str">
        <f>IF(A401="","",IF(L401&lt;8,"calibracion","validacion"))</f>
        <v/>
      </c>
      <c r="N401" s="20" t="s">
        <v>826</v>
      </c>
    </row>
    <row r="402" spans="2:14" hidden="1" x14ac:dyDescent="0.25">
      <c r="B402" t="s">
        <v>826</v>
      </c>
      <c r="K402" s="20" t="str">
        <f>IF(C402="","",C402-((TRUNC((C402/1000000),0))*1000000))</f>
        <v/>
      </c>
      <c r="L402" s="20" t="str">
        <f ca="1">IF(A402="","",RANDBETWEEN(1,10))</f>
        <v/>
      </c>
      <c r="M402" s="20" t="str">
        <f>IF(A402="","",IF(L402&lt;8,"calibracion","validacion"))</f>
        <v/>
      </c>
      <c r="N402" s="20" t="s">
        <v>826</v>
      </c>
    </row>
    <row r="403" spans="2:14" hidden="1" x14ac:dyDescent="0.25">
      <c r="B403" t="s">
        <v>826</v>
      </c>
      <c r="K403" s="20" t="str">
        <f>IF(C403="","",C403-((TRUNC((C403/1000000),0))*1000000))</f>
        <v/>
      </c>
      <c r="L403" s="20" t="str">
        <f ca="1">IF(A403="","",RANDBETWEEN(1,10))</f>
        <v/>
      </c>
      <c r="M403" s="20" t="str">
        <f>IF(A403="","",IF(L403&lt;8,"calibracion","validacion"))</f>
        <v/>
      </c>
      <c r="N403" s="20" t="s">
        <v>826</v>
      </c>
    </row>
    <row r="404" spans="2:14" hidden="1" x14ac:dyDescent="0.25">
      <c r="B404" t="s">
        <v>826</v>
      </c>
      <c r="K404" s="20" t="str">
        <f>IF(C404="","",C404-((TRUNC((C404/1000000),0))*1000000))</f>
        <v/>
      </c>
      <c r="L404" s="20" t="str">
        <f ca="1">IF(A404="","",RANDBETWEEN(1,10))</f>
        <v/>
      </c>
      <c r="M404" s="20" t="str">
        <f>IF(A404="","",IF(L404&lt;8,"calibracion","validacion"))</f>
        <v/>
      </c>
      <c r="N404" s="20" t="s">
        <v>826</v>
      </c>
    </row>
    <row r="405" spans="2:14" hidden="1" x14ac:dyDescent="0.25">
      <c r="B405" t="s">
        <v>826</v>
      </c>
      <c r="K405" s="20" t="str">
        <f>IF(C405="","",C405-((TRUNC((C405/1000000),0))*1000000))</f>
        <v/>
      </c>
      <c r="L405" s="20" t="str">
        <f ca="1">IF(A405="","",RANDBETWEEN(1,10))</f>
        <v/>
      </c>
      <c r="M405" s="20" t="str">
        <f>IF(A405="","",IF(L405&lt;8,"calibracion","validacion"))</f>
        <v/>
      </c>
      <c r="N405" s="20" t="s">
        <v>826</v>
      </c>
    </row>
    <row r="406" spans="2:14" hidden="1" x14ac:dyDescent="0.25">
      <c r="B406" t="s">
        <v>826</v>
      </c>
      <c r="K406" s="20" t="str">
        <f>IF(C406="","",C406-((TRUNC((C406/1000000),0))*1000000))</f>
        <v/>
      </c>
      <c r="L406" s="20" t="str">
        <f ca="1">IF(A406="","",RANDBETWEEN(1,10))</f>
        <v/>
      </c>
      <c r="M406" s="20" t="str">
        <f>IF(A406="","",IF(L406&lt;8,"calibracion","validacion"))</f>
        <v/>
      </c>
      <c r="N406" s="20" t="s">
        <v>826</v>
      </c>
    </row>
    <row r="407" spans="2:14" hidden="1" x14ac:dyDescent="0.25">
      <c r="B407" t="s">
        <v>826</v>
      </c>
      <c r="K407" s="20" t="str">
        <f>IF(C407="","",C407-((TRUNC((C407/1000000),0))*1000000))</f>
        <v/>
      </c>
      <c r="L407" s="20" t="str">
        <f ca="1">IF(A407="","",RANDBETWEEN(1,10))</f>
        <v/>
      </c>
      <c r="M407" s="20" t="str">
        <f>IF(A407="","",IF(L407&lt;8,"calibracion","validacion"))</f>
        <v/>
      </c>
      <c r="N407" s="20" t="s">
        <v>826</v>
      </c>
    </row>
    <row r="408" spans="2:14" hidden="1" x14ac:dyDescent="0.25">
      <c r="B408" t="s">
        <v>826</v>
      </c>
      <c r="K408" s="20" t="str">
        <f>IF(C408="","",C408-((TRUNC((C408/1000000),0))*1000000))</f>
        <v/>
      </c>
      <c r="L408" s="20" t="str">
        <f ca="1">IF(A408="","",RANDBETWEEN(1,10))</f>
        <v/>
      </c>
      <c r="M408" s="20" t="str">
        <f>IF(A408="","",IF(L408&lt;8,"calibracion","validacion"))</f>
        <v/>
      </c>
      <c r="N408" s="20" t="s">
        <v>826</v>
      </c>
    </row>
    <row r="409" spans="2:14" hidden="1" x14ac:dyDescent="0.25">
      <c r="B409" t="s">
        <v>826</v>
      </c>
      <c r="K409" s="20" t="str">
        <f>IF(C409="","",C409-((TRUNC((C409/1000000),0))*1000000))</f>
        <v/>
      </c>
      <c r="L409" s="20" t="str">
        <f ca="1">IF(A409="","",RANDBETWEEN(1,10))</f>
        <v/>
      </c>
      <c r="M409" s="20" t="str">
        <f>IF(A409="","",IF(L409&lt;8,"calibracion","validacion"))</f>
        <v/>
      </c>
      <c r="N409" s="20" t="s">
        <v>826</v>
      </c>
    </row>
    <row r="410" spans="2:14" hidden="1" x14ac:dyDescent="0.25">
      <c r="B410" t="s">
        <v>826</v>
      </c>
      <c r="K410" s="20" t="str">
        <f>IF(C410="","",C410-((TRUNC((C410/1000000),0))*1000000))</f>
        <v/>
      </c>
      <c r="L410" s="20" t="str">
        <f ca="1">IF(A410="","",RANDBETWEEN(1,10))</f>
        <v/>
      </c>
      <c r="M410" s="20" t="str">
        <f>IF(A410="","",IF(L410&lt;8,"calibracion","validacion"))</f>
        <v/>
      </c>
      <c r="N410" s="20" t="s">
        <v>826</v>
      </c>
    </row>
    <row r="411" spans="2:14" hidden="1" x14ac:dyDescent="0.25">
      <c r="B411" t="s">
        <v>826</v>
      </c>
      <c r="K411" s="20" t="str">
        <f>IF(C411="","",C411-((TRUNC((C411/1000000),0))*1000000))</f>
        <v/>
      </c>
      <c r="L411" s="20" t="str">
        <f ca="1">IF(A411="","",RANDBETWEEN(1,10))</f>
        <v/>
      </c>
      <c r="M411" s="20" t="str">
        <f>IF(A411="","",IF(L411&lt;8,"calibracion","validacion"))</f>
        <v/>
      </c>
      <c r="N411" s="20" t="s">
        <v>826</v>
      </c>
    </row>
    <row r="412" spans="2:14" hidden="1" x14ac:dyDescent="0.25">
      <c r="B412" t="s">
        <v>826</v>
      </c>
      <c r="K412" s="20" t="str">
        <f>IF(C412="","",C412-((TRUNC((C412/1000000),0))*1000000))</f>
        <v/>
      </c>
      <c r="L412" s="20" t="str">
        <f ca="1">IF(A412="","",RANDBETWEEN(1,10))</f>
        <v/>
      </c>
      <c r="M412" s="20" t="str">
        <f>IF(A412="","",IF(L412&lt;8,"calibracion","validacion"))</f>
        <v/>
      </c>
      <c r="N412" s="20" t="s">
        <v>826</v>
      </c>
    </row>
    <row r="413" spans="2:14" hidden="1" x14ac:dyDescent="0.25">
      <c r="B413" t="s">
        <v>826</v>
      </c>
      <c r="K413" s="20" t="str">
        <f>IF(C413="","",C413-((TRUNC((C413/1000000),0))*1000000))</f>
        <v/>
      </c>
      <c r="L413" s="20" t="str">
        <f ca="1">IF(A413="","",RANDBETWEEN(1,10))</f>
        <v/>
      </c>
      <c r="M413" s="20" t="str">
        <f>IF(A413="","",IF(L413&lt;8,"calibracion","validacion"))</f>
        <v/>
      </c>
      <c r="N413" s="20" t="s">
        <v>826</v>
      </c>
    </row>
    <row r="414" spans="2:14" hidden="1" x14ac:dyDescent="0.25">
      <c r="B414" t="s">
        <v>826</v>
      </c>
      <c r="K414" s="20" t="str">
        <f>IF(C414="","",C414-((TRUNC((C414/1000000),0))*1000000))</f>
        <v/>
      </c>
      <c r="L414" s="20" t="str">
        <f ca="1">IF(A414="","",RANDBETWEEN(1,10))</f>
        <v/>
      </c>
      <c r="M414" s="20" t="str">
        <f>IF(A414="","",IF(L414&lt;8,"calibracion","validacion"))</f>
        <v/>
      </c>
      <c r="N414" s="20" t="s">
        <v>826</v>
      </c>
    </row>
    <row r="415" spans="2:14" hidden="1" x14ac:dyDescent="0.25">
      <c r="B415" t="s">
        <v>826</v>
      </c>
      <c r="K415" s="20" t="str">
        <f>IF(C415="","",C415-((TRUNC((C415/1000000),0))*1000000))</f>
        <v/>
      </c>
      <c r="L415" s="20" t="str">
        <f ca="1">IF(A415="","",RANDBETWEEN(1,10))</f>
        <v/>
      </c>
      <c r="M415" s="20" t="str">
        <f>IF(A415="","",IF(L415&lt;8,"calibracion","validacion"))</f>
        <v/>
      </c>
      <c r="N415" s="20" t="s">
        <v>826</v>
      </c>
    </row>
    <row r="416" spans="2:14" hidden="1" x14ac:dyDescent="0.25">
      <c r="B416" t="s">
        <v>826</v>
      </c>
      <c r="K416" s="20" t="str">
        <f>IF(C416="","",C416-((TRUNC((C416/1000000),0))*1000000))</f>
        <v/>
      </c>
      <c r="L416" s="20" t="str">
        <f ca="1">IF(A416="","",RANDBETWEEN(1,10))</f>
        <v/>
      </c>
      <c r="M416" s="20" t="str">
        <f>IF(A416="","",IF(L416&lt;8,"calibracion","validacion"))</f>
        <v/>
      </c>
      <c r="N416" s="20" t="s">
        <v>826</v>
      </c>
    </row>
    <row r="417" spans="2:14" hidden="1" x14ac:dyDescent="0.25">
      <c r="B417" t="s">
        <v>826</v>
      </c>
      <c r="K417" s="20" t="str">
        <f>IF(C417="","",C417-((TRUNC((C417/1000000),0))*1000000))</f>
        <v/>
      </c>
      <c r="L417" s="20" t="str">
        <f ca="1">IF(A417="","",RANDBETWEEN(1,10))</f>
        <v/>
      </c>
      <c r="M417" s="20" t="str">
        <f>IF(A417="","",IF(L417&lt;8,"calibracion","validacion"))</f>
        <v/>
      </c>
      <c r="N417" s="20" t="s">
        <v>826</v>
      </c>
    </row>
    <row r="418" spans="2:14" hidden="1" x14ac:dyDescent="0.25">
      <c r="B418" t="s">
        <v>826</v>
      </c>
      <c r="K418" s="20" t="str">
        <f>IF(C418="","",C418-((TRUNC((C418/1000000),0))*1000000))</f>
        <v/>
      </c>
      <c r="L418" s="20" t="str">
        <f ca="1">IF(A418="","",RANDBETWEEN(1,10))</f>
        <v/>
      </c>
      <c r="M418" s="20" t="str">
        <f>IF(A418="","",IF(L418&lt;8,"calibracion","validacion"))</f>
        <v/>
      </c>
      <c r="N418" s="20" t="s">
        <v>826</v>
      </c>
    </row>
    <row r="419" spans="2:14" hidden="1" x14ac:dyDescent="0.25">
      <c r="B419" t="s">
        <v>826</v>
      </c>
      <c r="K419" s="20" t="str">
        <f>IF(C419="","",C419-((TRUNC((C419/1000000),0))*1000000))</f>
        <v/>
      </c>
      <c r="L419" s="20" t="str">
        <f ca="1">IF(A419="","",RANDBETWEEN(1,10))</f>
        <v/>
      </c>
      <c r="M419" s="20" t="str">
        <f>IF(A419="","",IF(L419&lt;8,"calibracion","validacion"))</f>
        <v/>
      </c>
      <c r="N419" s="20" t="s">
        <v>826</v>
      </c>
    </row>
    <row r="420" spans="2:14" hidden="1" x14ac:dyDescent="0.25">
      <c r="B420" t="s">
        <v>826</v>
      </c>
      <c r="K420" s="20" t="str">
        <f>IF(C420="","",C420-((TRUNC((C420/1000000),0))*1000000))</f>
        <v/>
      </c>
      <c r="L420" s="20" t="str">
        <f ca="1">IF(A420="","",RANDBETWEEN(1,10))</f>
        <v/>
      </c>
      <c r="M420" s="20" t="str">
        <f>IF(A420="","",IF(L420&lt;8,"calibracion","validacion"))</f>
        <v/>
      </c>
      <c r="N420" s="20" t="s">
        <v>826</v>
      </c>
    </row>
    <row r="421" spans="2:14" hidden="1" x14ac:dyDescent="0.25">
      <c r="B421" t="s">
        <v>826</v>
      </c>
      <c r="K421" s="20" t="str">
        <f>IF(C421="","",C421-((TRUNC((C421/1000000),0))*1000000))</f>
        <v/>
      </c>
      <c r="L421" s="20" t="str">
        <f ca="1">IF(A421="","",RANDBETWEEN(1,10))</f>
        <v/>
      </c>
      <c r="M421" s="20" t="str">
        <f>IF(A421="","",IF(L421&lt;8,"calibracion","validacion"))</f>
        <v/>
      </c>
      <c r="N421" s="20" t="s">
        <v>826</v>
      </c>
    </row>
    <row r="422" spans="2:14" hidden="1" x14ac:dyDescent="0.25">
      <c r="B422" t="s">
        <v>826</v>
      </c>
      <c r="K422" s="20" t="str">
        <f>IF(C422="","",C422-((TRUNC((C422/1000000),0))*1000000))</f>
        <v/>
      </c>
      <c r="L422" s="20" t="str">
        <f ca="1">IF(A422="","",RANDBETWEEN(1,10))</f>
        <v/>
      </c>
      <c r="M422" s="20" t="str">
        <f>IF(A422="","",IF(L422&lt;8,"calibracion","validacion"))</f>
        <v/>
      </c>
      <c r="N422" s="20" t="s">
        <v>826</v>
      </c>
    </row>
    <row r="423" spans="2:14" hidden="1" x14ac:dyDescent="0.25">
      <c r="B423" t="s">
        <v>826</v>
      </c>
      <c r="K423" s="20" t="str">
        <f>IF(C423="","",C423-((TRUNC((C423/1000000),0))*1000000))</f>
        <v/>
      </c>
      <c r="L423" s="20" t="str">
        <f ca="1">IF(A423="","",RANDBETWEEN(1,10))</f>
        <v/>
      </c>
      <c r="M423" s="20" t="str">
        <f>IF(A423="","",IF(L423&lt;8,"calibracion","validacion"))</f>
        <v/>
      </c>
      <c r="N423" s="20" t="s">
        <v>826</v>
      </c>
    </row>
    <row r="424" spans="2:14" hidden="1" x14ac:dyDescent="0.25">
      <c r="B424" t="s">
        <v>826</v>
      </c>
      <c r="K424" s="20" t="str">
        <f>IF(C424="","",C424-((TRUNC((C424/1000000),0))*1000000))</f>
        <v/>
      </c>
      <c r="L424" s="20" t="str">
        <f ca="1">IF(A424="","",RANDBETWEEN(1,10))</f>
        <v/>
      </c>
      <c r="M424" s="20" t="str">
        <f>IF(A424="","",IF(L424&lt;8,"calibracion","validacion"))</f>
        <v/>
      </c>
      <c r="N424" s="20" t="s">
        <v>826</v>
      </c>
    </row>
    <row r="425" spans="2:14" hidden="1" x14ac:dyDescent="0.25">
      <c r="B425" t="s">
        <v>826</v>
      </c>
      <c r="K425" s="20" t="str">
        <f>IF(C425="","",C425-((TRUNC((C425/1000000),0))*1000000))</f>
        <v/>
      </c>
      <c r="L425" s="20" t="str">
        <f ca="1">IF(A425="","",RANDBETWEEN(1,10))</f>
        <v/>
      </c>
      <c r="M425" s="20" t="str">
        <f>IF(A425="","",IF(L425&lt;8,"calibracion","validacion"))</f>
        <v/>
      </c>
      <c r="N425" s="20" t="s">
        <v>826</v>
      </c>
    </row>
    <row r="426" spans="2:14" hidden="1" x14ac:dyDescent="0.25">
      <c r="B426" t="s">
        <v>826</v>
      </c>
      <c r="K426" s="20" t="str">
        <f>IF(C426="","",C426-((TRUNC((C426/1000000),0))*1000000))</f>
        <v/>
      </c>
      <c r="L426" s="20" t="str">
        <f ca="1">IF(A426="","",RANDBETWEEN(1,10))</f>
        <v/>
      </c>
      <c r="M426" s="20" t="str">
        <f>IF(A426="","",IF(L426&lt;8,"calibracion","validacion"))</f>
        <v/>
      </c>
      <c r="N426" s="20" t="s">
        <v>826</v>
      </c>
    </row>
    <row r="427" spans="2:14" hidden="1" x14ac:dyDescent="0.25">
      <c r="B427" t="s">
        <v>826</v>
      </c>
      <c r="K427" s="20" t="str">
        <f>IF(C427="","",C427-((TRUNC((C427/1000000),0))*1000000))</f>
        <v/>
      </c>
      <c r="L427" s="20" t="str">
        <f ca="1">IF(A427="","",RANDBETWEEN(1,10))</f>
        <v/>
      </c>
      <c r="M427" s="20" t="str">
        <f>IF(A427="","",IF(L427&lt;8,"calibracion","validacion"))</f>
        <v/>
      </c>
      <c r="N427" s="20" t="s">
        <v>826</v>
      </c>
    </row>
    <row r="428" spans="2:14" hidden="1" x14ac:dyDescent="0.25">
      <c r="B428" t="s">
        <v>826</v>
      </c>
      <c r="K428" s="20" t="str">
        <f>IF(C428="","",C428-((TRUNC((C428/1000000),0))*1000000))</f>
        <v/>
      </c>
      <c r="L428" s="20" t="str">
        <f ca="1">IF(A428="","",RANDBETWEEN(1,10))</f>
        <v/>
      </c>
      <c r="M428" s="20" t="str">
        <f>IF(A428="","",IF(L428&lt;8,"calibracion","validacion"))</f>
        <v/>
      </c>
      <c r="N428" s="20" t="s">
        <v>826</v>
      </c>
    </row>
    <row r="429" spans="2:14" hidden="1" x14ac:dyDescent="0.25">
      <c r="B429" t="s">
        <v>826</v>
      </c>
      <c r="K429" s="20" t="str">
        <f>IF(C429="","",C429-((TRUNC((C429/1000000),0))*1000000))</f>
        <v/>
      </c>
      <c r="L429" s="20" t="str">
        <f ca="1">IF(A429="","",RANDBETWEEN(1,10))</f>
        <v/>
      </c>
      <c r="M429" s="20" t="str">
        <f>IF(A429="","",IF(L429&lt;8,"calibracion","validacion"))</f>
        <v/>
      </c>
      <c r="N429" s="20" t="s">
        <v>826</v>
      </c>
    </row>
    <row r="430" spans="2:14" hidden="1" x14ac:dyDescent="0.25">
      <c r="B430" t="s">
        <v>826</v>
      </c>
      <c r="K430" s="20" t="str">
        <f>IF(C430="","",C430-((TRUNC((C430/1000000),0))*1000000))</f>
        <v/>
      </c>
      <c r="L430" s="20" t="str">
        <f ca="1">IF(A430="","",RANDBETWEEN(1,10))</f>
        <v/>
      </c>
      <c r="M430" s="20" t="str">
        <f>IF(A430="","",IF(L430&lt;8,"calibracion","validacion"))</f>
        <v/>
      </c>
      <c r="N430" s="20" t="s">
        <v>826</v>
      </c>
    </row>
    <row r="431" spans="2:14" hidden="1" x14ac:dyDescent="0.25">
      <c r="B431" t="s">
        <v>826</v>
      </c>
      <c r="K431" s="20" t="str">
        <f>IF(C431="","",C431-((TRUNC((C431/1000000),0))*1000000))</f>
        <v/>
      </c>
      <c r="L431" s="20" t="str">
        <f ca="1">IF(A431="","",RANDBETWEEN(1,10))</f>
        <v/>
      </c>
      <c r="M431" s="20" t="str">
        <f>IF(A431="","",IF(L431&lt;8,"calibracion","validacion"))</f>
        <v/>
      </c>
      <c r="N431" s="20" t="s">
        <v>826</v>
      </c>
    </row>
    <row r="432" spans="2:14" hidden="1" x14ac:dyDescent="0.25">
      <c r="B432" t="s">
        <v>826</v>
      </c>
      <c r="K432" s="20" t="str">
        <f>IF(C432="","",C432-((TRUNC((C432/1000000),0))*1000000))</f>
        <v/>
      </c>
      <c r="L432" s="20" t="str">
        <f ca="1">IF(A432="","",RANDBETWEEN(1,10))</f>
        <v/>
      </c>
      <c r="M432" s="20" t="str">
        <f>IF(A432="","",IF(L432&lt;8,"calibracion","validacion"))</f>
        <v/>
      </c>
      <c r="N432" s="20" t="s">
        <v>826</v>
      </c>
    </row>
    <row r="433" spans="2:14" hidden="1" x14ac:dyDescent="0.25">
      <c r="B433" t="s">
        <v>826</v>
      </c>
      <c r="K433" s="20" t="str">
        <f>IF(C433="","",C433-((TRUNC((C433/1000000),0))*1000000))</f>
        <v/>
      </c>
      <c r="L433" s="20" t="str">
        <f ca="1">IF(A433="","",RANDBETWEEN(1,10))</f>
        <v/>
      </c>
      <c r="M433" s="20" t="str">
        <f>IF(A433="","",IF(L433&lt;8,"calibracion","validacion"))</f>
        <v/>
      </c>
      <c r="N433" s="20" t="s">
        <v>826</v>
      </c>
    </row>
    <row r="434" spans="2:14" hidden="1" x14ac:dyDescent="0.25">
      <c r="B434" t="s">
        <v>826</v>
      </c>
      <c r="K434" s="20" t="str">
        <f>IF(C434="","",C434-((TRUNC((C434/1000000),0))*1000000))</f>
        <v/>
      </c>
      <c r="L434" s="20" t="str">
        <f ca="1">IF(A434="","",RANDBETWEEN(1,10))</f>
        <v/>
      </c>
      <c r="M434" s="20" t="str">
        <f>IF(A434="","",IF(L434&lt;8,"calibracion","validacion"))</f>
        <v/>
      </c>
      <c r="N434" s="20" t="s">
        <v>826</v>
      </c>
    </row>
    <row r="435" spans="2:14" hidden="1" x14ac:dyDescent="0.25">
      <c r="B435" t="s">
        <v>826</v>
      </c>
      <c r="K435" s="20" t="str">
        <f>IF(C435="","",C435-((TRUNC((C435/1000000),0))*1000000))</f>
        <v/>
      </c>
      <c r="L435" s="20" t="str">
        <f ca="1">IF(A435="","",RANDBETWEEN(1,10))</f>
        <v/>
      </c>
      <c r="M435" s="20" t="str">
        <f>IF(A435="","",IF(L435&lt;8,"calibracion","validacion"))</f>
        <v/>
      </c>
      <c r="N435" s="20" t="s">
        <v>826</v>
      </c>
    </row>
    <row r="436" spans="2:14" hidden="1" x14ac:dyDescent="0.25">
      <c r="B436" t="s">
        <v>826</v>
      </c>
      <c r="K436" s="20" t="str">
        <f>IF(C436="","",C436-((TRUNC((C436/1000000),0))*1000000))</f>
        <v/>
      </c>
      <c r="L436" s="20" t="str">
        <f ca="1">IF(A436="","",RANDBETWEEN(1,10))</f>
        <v/>
      </c>
      <c r="M436" s="20" t="str">
        <f>IF(A436="","",IF(L436&lt;8,"calibracion","validacion"))</f>
        <v/>
      </c>
      <c r="N436" s="20" t="s">
        <v>826</v>
      </c>
    </row>
    <row r="437" spans="2:14" hidden="1" x14ac:dyDescent="0.25">
      <c r="B437" t="s">
        <v>826</v>
      </c>
      <c r="K437" s="20" t="str">
        <f>IF(C437="","",C437-((TRUNC((C437/1000000),0))*1000000))</f>
        <v/>
      </c>
      <c r="L437" s="20" t="str">
        <f ca="1">IF(A437="","",RANDBETWEEN(1,10))</f>
        <v/>
      </c>
      <c r="M437" s="20" t="str">
        <f>IF(A437="","",IF(L437&lt;8,"calibracion","validacion"))</f>
        <v/>
      </c>
      <c r="N437" s="20" t="s">
        <v>826</v>
      </c>
    </row>
    <row r="438" spans="2:14" hidden="1" x14ac:dyDescent="0.25">
      <c r="B438" t="s">
        <v>826</v>
      </c>
      <c r="K438" s="20" t="str">
        <f>IF(C438="","",C438-((TRUNC((C438/1000000),0))*1000000))</f>
        <v/>
      </c>
      <c r="L438" s="20" t="str">
        <f ca="1">IF(A438="","",RANDBETWEEN(1,10))</f>
        <v/>
      </c>
      <c r="M438" s="20" t="str">
        <f>IF(A438="","",IF(L438&lt;8,"calibracion","validacion"))</f>
        <v/>
      </c>
      <c r="N438" s="20" t="s">
        <v>826</v>
      </c>
    </row>
    <row r="439" spans="2:14" hidden="1" x14ac:dyDescent="0.25">
      <c r="B439" t="s">
        <v>826</v>
      </c>
      <c r="K439" s="20" t="str">
        <f>IF(C439="","",C439-((TRUNC((C439/1000000),0))*1000000))</f>
        <v/>
      </c>
      <c r="L439" s="20" t="str">
        <f ca="1">IF(A439="","",RANDBETWEEN(1,10))</f>
        <v/>
      </c>
      <c r="M439" s="20" t="str">
        <f>IF(A439="","",IF(L439&lt;8,"calibracion","validacion"))</f>
        <v/>
      </c>
      <c r="N439" s="20" t="s">
        <v>826</v>
      </c>
    </row>
    <row r="440" spans="2:14" hidden="1" x14ac:dyDescent="0.25">
      <c r="B440" t="s">
        <v>826</v>
      </c>
      <c r="K440" s="20" t="str">
        <f>IF(C440="","",C440-((TRUNC((C440/1000000),0))*1000000))</f>
        <v/>
      </c>
      <c r="L440" s="20" t="str">
        <f ca="1">IF(A440="","",RANDBETWEEN(1,10))</f>
        <v/>
      </c>
      <c r="M440" s="20" t="str">
        <f>IF(A440="","",IF(L440&lt;8,"calibracion","validacion"))</f>
        <v/>
      </c>
      <c r="N440" s="20" t="s">
        <v>826</v>
      </c>
    </row>
    <row r="441" spans="2:14" hidden="1" x14ac:dyDescent="0.25">
      <c r="B441" t="s">
        <v>826</v>
      </c>
      <c r="K441" s="20" t="str">
        <f>IF(C441="","",C441-((TRUNC((C441/1000000),0))*1000000))</f>
        <v/>
      </c>
      <c r="L441" s="20" t="str">
        <f ca="1">IF(A441="","",RANDBETWEEN(1,10))</f>
        <v/>
      </c>
      <c r="M441" s="20" t="str">
        <f>IF(A441="","",IF(L441&lt;8,"calibracion","validacion"))</f>
        <v/>
      </c>
      <c r="N441" s="20" t="s">
        <v>826</v>
      </c>
    </row>
    <row r="442" spans="2:14" hidden="1" x14ac:dyDescent="0.25">
      <c r="B442" t="s">
        <v>826</v>
      </c>
      <c r="K442" s="20" t="str">
        <f>IF(C442="","",C442-((TRUNC((C442/1000000),0))*1000000))</f>
        <v/>
      </c>
      <c r="L442" s="20" t="str">
        <f ca="1">IF(A442="","",RANDBETWEEN(1,10))</f>
        <v/>
      </c>
      <c r="M442" s="20" t="str">
        <f>IF(A442="","",IF(L442&lt;8,"calibracion","validacion"))</f>
        <v/>
      </c>
      <c r="N442" s="20" t="s">
        <v>826</v>
      </c>
    </row>
    <row r="443" spans="2:14" hidden="1" x14ac:dyDescent="0.25">
      <c r="B443" t="s">
        <v>826</v>
      </c>
      <c r="K443" s="20" t="str">
        <f>IF(C443="","",C443-((TRUNC((C443/1000000),0))*1000000))</f>
        <v/>
      </c>
      <c r="L443" s="20" t="str">
        <f ca="1">IF(A443="","",RANDBETWEEN(1,10))</f>
        <v/>
      </c>
      <c r="M443" s="20" t="str">
        <f>IF(A443="","",IF(L443&lt;8,"calibracion","validacion"))</f>
        <v/>
      </c>
      <c r="N443" s="20" t="s">
        <v>826</v>
      </c>
    </row>
    <row r="444" spans="2:14" hidden="1" x14ac:dyDescent="0.25">
      <c r="B444" t="s">
        <v>826</v>
      </c>
      <c r="K444" s="20" t="str">
        <f>IF(C444="","",C444-((TRUNC((C444/1000000),0))*1000000))</f>
        <v/>
      </c>
      <c r="L444" s="20" t="str">
        <f ca="1">IF(A444="","",RANDBETWEEN(1,10))</f>
        <v/>
      </c>
      <c r="M444" s="20" t="str">
        <f>IF(A444="","",IF(L444&lt;8,"calibracion","validacion"))</f>
        <v/>
      </c>
      <c r="N444" s="20" t="s">
        <v>826</v>
      </c>
    </row>
    <row r="445" spans="2:14" hidden="1" x14ac:dyDescent="0.25">
      <c r="B445" t="s">
        <v>826</v>
      </c>
      <c r="K445" s="20" t="str">
        <f>IF(C445="","",C445-((TRUNC((C445/1000000),0))*1000000))</f>
        <v/>
      </c>
      <c r="L445" s="20" t="str">
        <f ca="1">IF(A445="","",RANDBETWEEN(1,10))</f>
        <v/>
      </c>
      <c r="M445" s="20" t="str">
        <f>IF(A445="","",IF(L445&lt;8,"calibracion","validacion"))</f>
        <v/>
      </c>
      <c r="N445" s="20" t="s">
        <v>826</v>
      </c>
    </row>
    <row r="446" spans="2:14" hidden="1" x14ac:dyDescent="0.25">
      <c r="B446" t="s">
        <v>826</v>
      </c>
      <c r="K446" s="20" t="str">
        <f>IF(C446="","",C446-((TRUNC((C446/1000000),0))*1000000))</f>
        <v/>
      </c>
      <c r="L446" s="20" t="str">
        <f ca="1">IF(A446="","",RANDBETWEEN(1,10))</f>
        <v/>
      </c>
      <c r="M446" s="20" t="str">
        <f>IF(A446="","",IF(L446&lt;8,"calibracion","validacion"))</f>
        <v/>
      </c>
      <c r="N446" s="20" t="s">
        <v>826</v>
      </c>
    </row>
    <row r="447" spans="2:14" hidden="1" x14ac:dyDescent="0.25">
      <c r="B447" t="s">
        <v>826</v>
      </c>
      <c r="K447" s="20" t="str">
        <f>IF(C447="","",C447-((TRUNC((C447/1000000),0))*1000000))</f>
        <v/>
      </c>
      <c r="L447" s="20" t="str">
        <f ca="1">IF(A447="","",RANDBETWEEN(1,10))</f>
        <v/>
      </c>
      <c r="M447" s="20" t="str">
        <f>IF(A447="","",IF(L447&lt;8,"calibracion","validacion"))</f>
        <v/>
      </c>
      <c r="N447" s="20" t="s">
        <v>826</v>
      </c>
    </row>
    <row r="448" spans="2:14" hidden="1" x14ac:dyDescent="0.25">
      <c r="B448" t="s">
        <v>826</v>
      </c>
      <c r="K448" s="20" t="str">
        <f>IF(C448="","",C448-((TRUNC((C448/1000000),0))*1000000))</f>
        <v/>
      </c>
      <c r="L448" s="20" t="str">
        <f ca="1">IF(A448="","",RANDBETWEEN(1,10))</f>
        <v/>
      </c>
      <c r="M448" s="20" t="str">
        <f>IF(A448="","",IF(L448&lt;8,"calibracion","validacion"))</f>
        <v/>
      </c>
      <c r="N448" s="20" t="s">
        <v>826</v>
      </c>
    </row>
    <row r="449" spans="2:14" hidden="1" x14ac:dyDescent="0.25">
      <c r="B449" t="s">
        <v>826</v>
      </c>
      <c r="K449" s="20" t="str">
        <f>IF(C449="","",C449-((TRUNC((C449/1000000),0))*1000000))</f>
        <v/>
      </c>
      <c r="L449" s="20" t="str">
        <f ca="1">IF(A449="","",RANDBETWEEN(1,10))</f>
        <v/>
      </c>
      <c r="M449" s="20" t="str">
        <f>IF(A449="","",IF(L449&lt;8,"calibracion","validacion"))</f>
        <v/>
      </c>
      <c r="N449" s="20" t="s">
        <v>826</v>
      </c>
    </row>
    <row r="450" spans="2:14" hidden="1" x14ac:dyDescent="0.25">
      <c r="B450" t="s">
        <v>826</v>
      </c>
      <c r="K450" s="20" t="str">
        <f>IF(C450="","",C450-((TRUNC((C450/1000000),0))*1000000))</f>
        <v/>
      </c>
      <c r="L450" s="20" t="str">
        <f ca="1">IF(A450="","",RANDBETWEEN(1,10))</f>
        <v/>
      </c>
      <c r="M450" s="20" t="str">
        <f>IF(A450="","",IF(L450&lt;8,"calibracion","validacion"))</f>
        <v/>
      </c>
      <c r="N450" s="20" t="s">
        <v>826</v>
      </c>
    </row>
    <row r="451" spans="2:14" hidden="1" x14ac:dyDescent="0.25">
      <c r="B451" t="s">
        <v>826</v>
      </c>
      <c r="K451" s="20" t="str">
        <f>IF(C451="","",C451-((TRUNC((C451/1000000),0))*1000000))</f>
        <v/>
      </c>
      <c r="L451" s="20" t="str">
        <f ca="1">IF(A451="","",RANDBETWEEN(1,10))</f>
        <v/>
      </c>
      <c r="M451" s="20" t="str">
        <f>IF(A451="","",IF(L451&lt;8,"calibracion","validacion"))</f>
        <v/>
      </c>
      <c r="N451" s="20" t="s">
        <v>826</v>
      </c>
    </row>
    <row r="452" spans="2:14" hidden="1" x14ac:dyDescent="0.25">
      <c r="B452" t="s">
        <v>826</v>
      </c>
      <c r="K452" s="20" t="str">
        <f>IF(C452="","",C452-((TRUNC((C452/1000000),0))*1000000))</f>
        <v/>
      </c>
      <c r="L452" s="20" t="str">
        <f ca="1">IF(A452="","",RANDBETWEEN(1,10))</f>
        <v/>
      </c>
      <c r="M452" s="20" t="str">
        <f>IF(A452="","",IF(L452&lt;8,"calibracion","validacion"))</f>
        <v/>
      </c>
      <c r="N452" s="20" t="s">
        <v>826</v>
      </c>
    </row>
    <row r="453" spans="2:14" hidden="1" x14ac:dyDescent="0.25">
      <c r="B453" t="s">
        <v>826</v>
      </c>
      <c r="K453" s="20" t="str">
        <f>IF(C453="","",C453-((TRUNC((C453/1000000),0))*1000000))</f>
        <v/>
      </c>
      <c r="L453" s="20" t="str">
        <f ca="1">IF(A453="","",RANDBETWEEN(1,10))</f>
        <v/>
      </c>
      <c r="M453" s="20" t="str">
        <f>IF(A453="","",IF(L453&lt;8,"calibracion","validacion"))</f>
        <v/>
      </c>
      <c r="N453" s="20" t="s">
        <v>826</v>
      </c>
    </row>
    <row r="454" spans="2:14" hidden="1" x14ac:dyDescent="0.25">
      <c r="B454" t="s">
        <v>826</v>
      </c>
      <c r="K454" s="20" t="str">
        <f>IF(C454="","",C454-((TRUNC((C454/1000000),0))*1000000))</f>
        <v/>
      </c>
      <c r="L454" s="20" t="str">
        <f ca="1">IF(A454="","",RANDBETWEEN(1,10))</f>
        <v/>
      </c>
      <c r="M454" s="20" t="str">
        <f>IF(A454="","",IF(L454&lt;8,"calibracion","validacion"))</f>
        <v/>
      </c>
      <c r="N454" s="20" t="s">
        <v>826</v>
      </c>
    </row>
    <row r="455" spans="2:14" hidden="1" x14ac:dyDescent="0.25">
      <c r="B455" t="s">
        <v>826</v>
      </c>
      <c r="K455" s="20" t="str">
        <f>IF(C455="","",C455-((TRUNC((C455/1000000),0))*1000000))</f>
        <v/>
      </c>
      <c r="L455" s="20" t="str">
        <f ca="1">IF(A455="","",RANDBETWEEN(1,10))</f>
        <v/>
      </c>
      <c r="M455" s="20" t="str">
        <f>IF(A455="","",IF(L455&lt;8,"calibracion","validacion"))</f>
        <v/>
      </c>
      <c r="N455" s="20" t="s">
        <v>826</v>
      </c>
    </row>
    <row r="456" spans="2:14" hidden="1" x14ac:dyDescent="0.25">
      <c r="B456" t="s">
        <v>826</v>
      </c>
      <c r="K456" s="20" t="str">
        <f>IF(C456="","",C456-((TRUNC((C456/1000000),0))*1000000))</f>
        <v/>
      </c>
      <c r="L456" s="20" t="str">
        <f ca="1">IF(A456="","",RANDBETWEEN(1,10))</f>
        <v/>
      </c>
      <c r="M456" s="20" t="str">
        <f>IF(A456="","",IF(L456&lt;8,"calibracion","validacion"))</f>
        <v/>
      </c>
      <c r="N456" s="20" t="s">
        <v>826</v>
      </c>
    </row>
    <row r="457" spans="2:14" hidden="1" x14ac:dyDescent="0.25">
      <c r="B457" t="s">
        <v>826</v>
      </c>
      <c r="K457" s="20" t="str">
        <f>IF(C457="","",C457-((TRUNC((C457/1000000),0))*1000000))</f>
        <v/>
      </c>
      <c r="L457" s="20" t="str">
        <f ca="1">IF(A457="","",RANDBETWEEN(1,10))</f>
        <v/>
      </c>
      <c r="M457" s="20" t="str">
        <f>IF(A457="","",IF(L457&lt;8,"calibracion","validacion"))</f>
        <v/>
      </c>
      <c r="N457" s="20" t="s">
        <v>826</v>
      </c>
    </row>
    <row r="458" spans="2:14" hidden="1" x14ac:dyDescent="0.25">
      <c r="B458" t="s">
        <v>826</v>
      </c>
      <c r="K458" s="20" t="str">
        <f>IF(C458="","",C458-((TRUNC((C458/1000000),0))*1000000))</f>
        <v/>
      </c>
      <c r="L458" s="20" t="str">
        <f ca="1">IF(A458="","",RANDBETWEEN(1,10))</f>
        <v/>
      </c>
      <c r="M458" s="20" t="str">
        <f>IF(A458="","",IF(L458&lt;8,"calibracion","validacion"))</f>
        <v/>
      </c>
      <c r="N458" s="20" t="s">
        <v>826</v>
      </c>
    </row>
    <row r="459" spans="2:14" hidden="1" x14ac:dyDescent="0.25">
      <c r="B459" t="s">
        <v>826</v>
      </c>
      <c r="K459" s="20" t="str">
        <f>IF(C459="","",C459-((TRUNC((C459/1000000),0))*1000000))</f>
        <v/>
      </c>
      <c r="L459" s="20" t="str">
        <f ca="1">IF(A459="","",RANDBETWEEN(1,10))</f>
        <v/>
      </c>
      <c r="M459" s="20" t="str">
        <f>IF(A459="","",IF(L459&lt;8,"calibracion","validacion"))</f>
        <v/>
      </c>
      <c r="N459" s="20" t="s">
        <v>826</v>
      </c>
    </row>
    <row r="460" spans="2:14" hidden="1" x14ac:dyDescent="0.25">
      <c r="B460" t="s">
        <v>826</v>
      </c>
      <c r="K460" s="20" t="str">
        <f>IF(C460="","",C460-((TRUNC((C460/1000000),0))*1000000))</f>
        <v/>
      </c>
      <c r="L460" s="20" t="str">
        <f ca="1">IF(A460="","",RANDBETWEEN(1,10))</f>
        <v/>
      </c>
      <c r="M460" s="20" t="str">
        <f>IF(A460="","",IF(L460&lt;8,"calibracion","validacion"))</f>
        <v/>
      </c>
      <c r="N460" s="20" t="s">
        <v>826</v>
      </c>
    </row>
    <row r="461" spans="2:14" hidden="1" x14ac:dyDescent="0.25">
      <c r="B461" t="s">
        <v>826</v>
      </c>
      <c r="K461" s="20" t="str">
        <f>IF(C461="","",C461-((TRUNC((C461/1000000),0))*1000000))</f>
        <v/>
      </c>
      <c r="L461" s="20" t="str">
        <f ca="1">IF(A461="","",RANDBETWEEN(1,10))</f>
        <v/>
      </c>
      <c r="M461" s="20" t="str">
        <f>IF(A461="","",IF(L461&lt;8,"calibracion","validacion"))</f>
        <v/>
      </c>
      <c r="N461" s="20" t="s">
        <v>826</v>
      </c>
    </row>
    <row r="462" spans="2:14" hidden="1" x14ac:dyDescent="0.25">
      <c r="B462" t="s">
        <v>826</v>
      </c>
      <c r="K462" s="20" t="str">
        <f>IF(C462="","",C462-((TRUNC((C462/1000000),0))*1000000))</f>
        <v/>
      </c>
      <c r="L462" s="20" t="str">
        <f ca="1">IF(A462="","",RANDBETWEEN(1,10))</f>
        <v/>
      </c>
      <c r="M462" s="20" t="str">
        <f>IF(A462="","",IF(L462&lt;8,"calibracion","validacion"))</f>
        <v/>
      </c>
      <c r="N462" s="20" t="s">
        <v>826</v>
      </c>
    </row>
    <row r="463" spans="2:14" hidden="1" x14ac:dyDescent="0.25">
      <c r="B463" t="s">
        <v>826</v>
      </c>
      <c r="K463" s="20" t="str">
        <f>IF(C463="","",C463-((TRUNC((C463/1000000),0))*1000000))</f>
        <v/>
      </c>
      <c r="L463" s="20" t="str">
        <f ca="1">IF(A463="","",RANDBETWEEN(1,10))</f>
        <v/>
      </c>
      <c r="M463" s="20" t="str">
        <f>IF(A463="","",IF(L463&lt;8,"calibracion","validacion"))</f>
        <v/>
      </c>
      <c r="N463" s="20" t="s">
        <v>826</v>
      </c>
    </row>
    <row r="464" spans="2:14" hidden="1" x14ac:dyDescent="0.25">
      <c r="B464" t="s">
        <v>826</v>
      </c>
      <c r="K464" s="20" t="str">
        <f>IF(C464="","",C464-((TRUNC((C464/1000000),0))*1000000))</f>
        <v/>
      </c>
      <c r="L464" s="20" t="str">
        <f ca="1">IF(A464="","",RANDBETWEEN(1,10))</f>
        <v/>
      </c>
      <c r="M464" s="20" t="str">
        <f>IF(A464="","",IF(L464&lt;8,"calibracion","validacion"))</f>
        <v/>
      </c>
      <c r="N464" s="20" t="s">
        <v>826</v>
      </c>
    </row>
    <row r="465" spans="2:14" hidden="1" x14ac:dyDescent="0.25">
      <c r="B465" t="s">
        <v>826</v>
      </c>
      <c r="K465" s="20" t="str">
        <f>IF(C465="","",C465-((TRUNC((C465/1000000),0))*1000000))</f>
        <v/>
      </c>
      <c r="L465" s="20" t="str">
        <f ca="1">IF(A465="","",RANDBETWEEN(1,10))</f>
        <v/>
      </c>
      <c r="M465" s="20" t="str">
        <f>IF(A465="","",IF(L465&lt;8,"calibracion","validacion"))</f>
        <v/>
      </c>
      <c r="N465" s="20" t="s">
        <v>826</v>
      </c>
    </row>
    <row r="466" spans="2:14" hidden="1" x14ac:dyDescent="0.25">
      <c r="B466" t="s">
        <v>826</v>
      </c>
      <c r="K466" s="20" t="str">
        <f>IF(C466="","",C466-((TRUNC((C466/1000000),0))*1000000))</f>
        <v/>
      </c>
      <c r="L466" s="20" t="str">
        <f ca="1">IF(A466="","",RANDBETWEEN(1,10))</f>
        <v/>
      </c>
      <c r="M466" s="20" t="str">
        <f>IF(A466="","",IF(L466&lt;8,"calibracion","validacion"))</f>
        <v/>
      </c>
      <c r="N466" s="20" t="s">
        <v>826</v>
      </c>
    </row>
    <row r="467" spans="2:14" hidden="1" x14ac:dyDescent="0.25">
      <c r="B467" t="s">
        <v>826</v>
      </c>
      <c r="K467" s="20" t="str">
        <f>IF(C467="","",C467-((TRUNC((C467/1000000),0))*1000000))</f>
        <v/>
      </c>
      <c r="L467" s="20" t="str">
        <f ca="1">IF(A467="","",RANDBETWEEN(1,10))</f>
        <v/>
      </c>
      <c r="M467" s="20" t="str">
        <f>IF(A467="","",IF(L467&lt;8,"calibracion","validacion"))</f>
        <v/>
      </c>
      <c r="N467" s="20" t="s">
        <v>826</v>
      </c>
    </row>
    <row r="468" spans="2:14" hidden="1" x14ac:dyDescent="0.25">
      <c r="B468" t="s">
        <v>826</v>
      </c>
      <c r="K468" s="20" t="str">
        <f>IF(C468="","",C468-((TRUNC((C468/1000000),0))*1000000))</f>
        <v/>
      </c>
      <c r="L468" s="20" t="str">
        <f ca="1">IF(A468="","",RANDBETWEEN(1,10))</f>
        <v/>
      </c>
      <c r="M468" s="20" t="str">
        <f>IF(A468="","",IF(L468&lt;8,"calibracion","validacion"))</f>
        <v/>
      </c>
      <c r="N468" s="20" t="s">
        <v>826</v>
      </c>
    </row>
    <row r="469" spans="2:14" hidden="1" x14ac:dyDescent="0.25">
      <c r="B469" t="s">
        <v>826</v>
      </c>
      <c r="K469" s="20" t="str">
        <f>IF(C469="","",C469-((TRUNC((C469/1000000),0))*1000000))</f>
        <v/>
      </c>
      <c r="L469" s="20" t="str">
        <f ca="1">IF(A469="","",RANDBETWEEN(1,10))</f>
        <v/>
      </c>
      <c r="M469" s="20" t="str">
        <f>IF(A469="","",IF(L469&lt;8,"calibracion","validacion"))</f>
        <v/>
      </c>
      <c r="N469" s="20" t="s">
        <v>826</v>
      </c>
    </row>
    <row r="470" spans="2:14" hidden="1" x14ac:dyDescent="0.25">
      <c r="B470" t="s">
        <v>826</v>
      </c>
      <c r="K470" s="20" t="str">
        <f>IF(C470="","",C470-((TRUNC((C470/1000000),0))*1000000))</f>
        <v/>
      </c>
      <c r="L470" s="20" t="str">
        <f ca="1">IF(A470="","",RANDBETWEEN(1,10))</f>
        <v/>
      </c>
      <c r="M470" s="20" t="str">
        <f>IF(A470="","",IF(L470&lt;8,"calibracion","validacion"))</f>
        <v/>
      </c>
      <c r="N470" s="20" t="s">
        <v>826</v>
      </c>
    </row>
    <row r="471" spans="2:14" hidden="1" x14ac:dyDescent="0.25">
      <c r="B471" t="s">
        <v>826</v>
      </c>
      <c r="K471" s="20" t="str">
        <f>IF(C471="","",C471-((TRUNC((C471/1000000),0))*1000000))</f>
        <v/>
      </c>
      <c r="L471" s="20" t="str">
        <f ca="1">IF(A471="","",RANDBETWEEN(1,10))</f>
        <v/>
      </c>
      <c r="M471" s="20" t="str">
        <f>IF(A471="","",IF(L471&lt;8,"calibracion","validacion"))</f>
        <v/>
      </c>
      <c r="N471" s="20" t="s">
        <v>826</v>
      </c>
    </row>
    <row r="472" spans="2:14" hidden="1" x14ac:dyDescent="0.25">
      <c r="B472" t="s">
        <v>826</v>
      </c>
      <c r="K472" s="20" t="str">
        <f>IF(C472="","",C472-((TRUNC((C472/1000000),0))*1000000))</f>
        <v/>
      </c>
      <c r="L472" s="20" t="str">
        <f ca="1">IF(A472="","",RANDBETWEEN(1,10))</f>
        <v/>
      </c>
      <c r="M472" s="20" t="str">
        <f>IF(A472="","",IF(L472&lt;8,"calibracion","validacion"))</f>
        <v/>
      </c>
      <c r="N472" s="20" t="s">
        <v>826</v>
      </c>
    </row>
    <row r="473" spans="2:14" hidden="1" x14ac:dyDescent="0.25">
      <c r="B473" t="s">
        <v>826</v>
      </c>
      <c r="K473" s="20" t="str">
        <f>IF(C473="","",C473-((TRUNC((C473/1000000),0))*1000000))</f>
        <v/>
      </c>
      <c r="L473" s="20" t="str">
        <f ca="1">IF(A473="","",RANDBETWEEN(1,10))</f>
        <v/>
      </c>
      <c r="M473" s="20" t="str">
        <f>IF(A473="","",IF(L473&lt;8,"calibracion","validacion"))</f>
        <v/>
      </c>
      <c r="N473" s="20" t="s">
        <v>826</v>
      </c>
    </row>
    <row r="474" spans="2:14" hidden="1" x14ac:dyDescent="0.25">
      <c r="B474" t="s">
        <v>826</v>
      </c>
      <c r="K474" s="20" t="str">
        <f>IF(C474="","",C474-((TRUNC((C474/1000000),0))*1000000))</f>
        <v/>
      </c>
      <c r="L474" s="20" t="str">
        <f ca="1">IF(A474="","",RANDBETWEEN(1,10))</f>
        <v/>
      </c>
      <c r="M474" s="20" t="str">
        <f>IF(A474="","",IF(L474&lt;8,"calibracion","validacion"))</f>
        <v/>
      </c>
      <c r="N474" s="20" t="s">
        <v>826</v>
      </c>
    </row>
    <row r="475" spans="2:14" hidden="1" x14ac:dyDescent="0.25">
      <c r="B475" t="s">
        <v>826</v>
      </c>
      <c r="K475" s="20" t="str">
        <f>IF(C475="","",C475-((TRUNC((C475/1000000),0))*1000000))</f>
        <v/>
      </c>
      <c r="L475" s="20" t="str">
        <f ca="1">IF(A475="","",RANDBETWEEN(1,10))</f>
        <v/>
      </c>
      <c r="M475" s="20" t="str">
        <f>IF(A475="","",IF(L475&lt;8,"calibracion","validacion"))</f>
        <v/>
      </c>
      <c r="N475" s="20" t="s">
        <v>826</v>
      </c>
    </row>
    <row r="476" spans="2:14" hidden="1" x14ac:dyDescent="0.25">
      <c r="B476" t="s">
        <v>826</v>
      </c>
      <c r="K476" s="20" t="str">
        <f>IF(C476="","",C476-((TRUNC((C476/1000000),0))*1000000))</f>
        <v/>
      </c>
      <c r="L476" s="20" t="str">
        <f ca="1">IF(A476="","",RANDBETWEEN(1,10))</f>
        <v/>
      </c>
      <c r="M476" s="20" t="str">
        <f>IF(A476="","",IF(L476&lt;8,"calibracion","validacion"))</f>
        <v/>
      </c>
      <c r="N476" s="20" t="s">
        <v>826</v>
      </c>
    </row>
    <row r="477" spans="2:14" hidden="1" x14ac:dyDescent="0.25">
      <c r="B477" t="s">
        <v>826</v>
      </c>
      <c r="K477" s="20" t="str">
        <f>IF(C477="","",C477-((TRUNC((C477/1000000),0))*1000000))</f>
        <v/>
      </c>
      <c r="L477" s="20" t="str">
        <f ca="1">IF(A477="","",RANDBETWEEN(1,10))</f>
        <v/>
      </c>
      <c r="M477" s="20" t="str">
        <f>IF(A477="","",IF(L477&lt;8,"calibracion","validacion"))</f>
        <v/>
      </c>
      <c r="N477" s="20" t="s">
        <v>826</v>
      </c>
    </row>
    <row r="478" spans="2:14" hidden="1" x14ac:dyDescent="0.25">
      <c r="B478" t="s">
        <v>826</v>
      </c>
      <c r="K478" s="20" t="str">
        <f>IF(C478="","",C478-((TRUNC((C478/1000000),0))*1000000))</f>
        <v/>
      </c>
      <c r="L478" s="20" t="str">
        <f ca="1">IF(A478="","",RANDBETWEEN(1,10))</f>
        <v/>
      </c>
      <c r="M478" s="20" t="str">
        <f>IF(A478="","",IF(L478&lt;8,"calibracion","validacion"))</f>
        <v/>
      </c>
      <c r="N478" s="20" t="s">
        <v>826</v>
      </c>
    </row>
    <row r="479" spans="2:14" hidden="1" x14ac:dyDescent="0.25">
      <c r="B479" t="s">
        <v>826</v>
      </c>
      <c r="K479" s="20" t="str">
        <f>IF(C479="","",C479-((TRUNC((C479/1000000),0))*1000000))</f>
        <v/>
      </c>
      <c r="L479" s="20" t="str">
        <f ca="1">IF(A479="","",RANDBETWEEN(1,10))</f>
        <v/>
      </c>
      <c r="M479" s="20" t="str">
        <f>IF(A479="","",IF(L479&lt;8,"calibracion","validacion"))</f>
        <v/>
      </c>
      <c r="N479" s="20" t="s">
        <v>826</v>
      </c>
    </row>
    <row r="480" spans="2:14" hidden="1" x14ac:dyDescent="0.25">
      <c r="B480" t="s">
        <v>826</v>
      </c>
      <c r="K480" s="20" t="str">
        <f>IF(C480="","",C480-((TRUNC((C480/1000000),0))*1000000))</f>
        <v/>
      </c>
      <c r="L480" s="20" t="str">
        <f ca="1">IF(A480="","",RANDBETWEEN(1,10))</f>
        <v/>
      </c>
      <c r="M480" s="20" t="str">
        <f>IF(A480="","",IF(L480&lt;8,"calibracion","validacion"))</f>
        <v/>
      </c>
      <c r="N480" s="20" t="s">
        <v>826</v>
      </c>
    </row>
    <row r="481" spans="2:14" hidden="1" x14ac:dyDescent="0.25">
      <c r="B481" t="s">
        <v>826</v>
      </c>
      <c r="K481" s="20" t="str">
        <f>IF(C481="","",C481-((TRUNC((C481/1000000),0))*1000000))</f>
        <v/>
      </c>
      <c r="L481" s="20" t="str">
        <f ca="1">IF(A481="","",RANDBETWEEN(1,10))</f>
        <v/>
      </c>
      <c r="M481" s="20" t="str">
        <f>IF(A481="","",IF(L481&lt;8,"calibracion","validacion"))</f>
        <v/>
      </c>
      <c r="N481" s="20" t="s">
        <v>826</v>
      </c>
    </row>
    <row r="482" spans="2:14" hidden="1" x14ac:dyDescent="0.25">
      <c r="B482" t="s">
        <v>826</v>
      </c>
      <c r="K482" s="20" t="str">
        <f>IF(C482="","",C482-((TRUNC((C482/1000000),0))*1000000))</f>
        <v/>
      </c>
      <c r="L482" s="20" t="str">
        <f ca="1">IF(A482="","",RANDBETWEEN(1,10))</f>
        <v/>
      </c>
      <c r="M482" s="20" t="str">
        <f>IF(A482="","",IF(L482&lt;8,"calibracion","validacion"))</f>
        <v/>
      </c>
      <c r="N482" s="20" t="s">
        <v>826</v>
      </c>
    </row>
    <row r="483" spans="2:14" hidden="1" x14ac:dyDescent="0.25">
      <c r="B483" t="s">
        <v>826</v>
      </c>
      <c r="K483" s="20" t="str">
        <f>IF(C483="","",C483-((TRUNC((C483/1000000),0))*1000000))</f>
        <v/>
      </c>
      <c r="L483" s="20" t="str">
        <f ca="1">IF(A483="","",RANDBETWEEN(1,10))</f>
        <v/>
      </c>
      <c r="M483" s="20" t="str">
        <f>IF(A483="","",IF(L483&lt;8,"calibracion","validacion"))</f>
        <v/>
      </c>
      <c r="N483" s="20" t="s">
        <v>826</v>
      </c>
    </row>
    <row r="484" spans="2:14" hidden="1" x14ac:dyDescent="0.25">
      <c r="B484" t="s">
        <v>826</v>
      </c>
      <c r="K484" s="20" t="str">
        <f>IF(C484="","",C484-((TRUNC((C484/1000000),0))*1000000))</f>
        <v/>
      </c>
      <c r="L484" s="20" t="str">
        <f ca="1">IF(A484="","",RANDBETWEEN(1,10))</f>
        <v/>
      </c>
      <c r="M484" s="20" t="str">
        <f>IF(A484="","",IF(L484&lt;8,"calibracion","validacion"))</f>
        <v/>
      </c>
      <c r="N484" s="20" t="s">
        <v>826</v>
      </c>
    </row>
    <row r="485" spans="2:14" hidden="1" x14ac:dyDescent="0.25">
      <c r="B485" t="s">
        <v>826</v>
      </c>
      <c r="K485" s="20" t="str">
        <f>IF(C485="","",C485-((TRUNC((C485/1000000),0))*1000000))</f>
        <v/>
      </c>
      <c r="L485" s="20" t="str">
        <f ca="1">IF(A485="","",RANDBETWEEN(1,10))</f>
        <v/>
      </c>
      <c r="M485" s="20" t="str">
        <f>IF(A485="","",IF(L485&lt;8,"calibracion","validacion"))</f>
        <v/>
      </c>
      <c r="N485" s="20" t="s">
        <v>826</v>
      </c>
    </row>
    <row r="486" spans="2:14" hidden="1" x14ac:dyDescent="0.25">
      <c r="B486" t="s">
        <v>826</v>
      </c>
      <c r="K486" s="20" t="str">
        <f>IF(C486="","",C486-((TRUNC((C486/1000000),0))*1000000))</f>
        <v/>
      </c>
      <c r="L486" s="20" t="str">
        <f ca="1">IF(A486="","",RANDBETWEEN(1,10))</f>
        <v/>
      </c>
      <c r="M486" s="20" t="str">
        <f>IF(A486="","",IF(L486&lt;8,"calibracion","validacion"))</f>
        <v/>
      </c>
      <c r="N486" s="20" t="s">
        <v>826</v>
      </c>
    </row>
    <row r="487" spans="2:14" hidden="1" x14ac:dyDescent="0.25">
      <c r="B487" t="s">
        <v>826</v>
      </c>
      <c r="K487" s="20" t="str">
        <f>IF(C487="","",C487-((TRUNC((C487/1000000),0))*1000000))</f>
        <v/>
      </c>
      <c r="L487" s="20" t="str">
        <f ca="1">IF(A487="","",RANDBETWEEN(1,10))</f>
        <v/>
      </c>
      <c r="M487" s="20" t="str">
        <f>IF(A487="","",IF(L487&lt;8,"calibracion","validacion"))</f>
        <v/>
      </c>
      <c r="N487" s="20" t="s">
        <v>826</v>
      </c>
    </row>
    <row r="488" spans="2:14" hidden="1" x14ac:dyDescent="0.25">
      <c r="B488" t="s">
        <v>826</v>
      </c>
      <c r="K488" s="20" t="str">
        <f>IF(C488="","",C488-((TRUNC((C488/1000000),0))*1000000))</f>
        <v/>
      </c>
      <c r="L488" s="20" t="str">
        <f ca="1">IF(A488="","",RANDBETWEEN(1,10))</f>
        <v/>
      </c>
      <c r="M488" s="20" t="str">
        <f>IF(A488="","",IF(L488&lt;8,"calibracion","validacion"))</f>
        <v/>
      </c>
      <c r="N488" s="20" t="s">
        <v>826</v>
      </c>
    </row>
    <row r="489" spans="2:14" hidden="1" x14ac:dyDescent="0.25">
      <c r="B489" t="s">
        <v>826</v>
      </c>
      <c r="K489" s="20" t="str">
        <f>IF(C489="","",C489-((TRUNC((C489/1000000),0))*1000000))</f>
        <v/>
      </c>
      <c r="L489" s="20" t="str">
        <f ca="1">IF(A489="","",RANDBETWEEN(1,10))</f>
        <v/>
      </c>
      <c r="M489" s="20" t="str">
        <f>IF(A489="","",IF(L489&lt;8,"calibracion","validacion"))</f>
        <v/>
      </c>
      <c r="N489" s="20" t="s">
        <v>826</v>
      </c>
    </row>
    <row r="490" spans="2:14" hidden="1" x14ac:dyDescent="0.25">
      <c r="B490" t="s">
        <v>826</v>
      </c>
      <c r="K490" s="20" t="str">
        <f>IF(C490="","",C490-((TRUNC((C490/1000000),0))*1000000))</f>
        <v/>
      </c>
      <c r="L490" s="20" t="str">
        <f ca="1">IF(A490="","",RANDBETWEEN(1,10))</f>
        <v/>
      </c>
      <c r="M490" s="20" t="str">
        <f>IF(A490="","",IF(L490&lt;8,"calibracion","validacion"))</f>
        <v/>
      </c>
      <c r="N490" s="20" t="s">
        <v>826</v>
      </c>
    </row>
    <row r="491" spans="2:14" hidden="1" x14ac:dyDescent="0.25">
      <c r="B491" t="s">
        <v>826</v>
      </c>
      <c r="K491" s="20" t="str">
        <f>IF(C491="","",C491-((TRUNC((C491/1000000),0))*1000000))</f>
        <v/>
      </c>
      <c r="L491" s="20" t="str">
        <f ca="1">IF(A491="","",RANDBETWEEN(1,10))</f>
        <v/>
      </c>
      <c r="M491" s="20" t="str">
        <f>IF(A491="","",IF(L491&lt;8,"calibracion","validacion"))</f>
        <v/>
      </c>
      <c r="N491" s="20" t="s">
        <v>826</v>
      </c>
    </row>
    <row r="492" spans="2:14" hidden="1" x14ac:dyDescent="0.25">
      <c r="B492" t="s">
        <v>826</v>
      </c>
      <c r="K492" s="20" t="str">
        <f>IF(C492="","",C492-((TRUNC((C492/1000000),0))*1000000))</f>
        <v/>
      </c>
      <c r="L492" s="20" t="str">
        <f ca="1">IF(A492="","",RANDBETWEEN(1,10))</f>
        <v/>
      </c>
      <c r="M492" s="20" t="str">
        <f>IF(A492="","",IF(L492&lt;8,"calibracion","validacion"))</f>
        <v/>
      </c>
      <c r="N492" s="20" t="s">
        <v>826</v>
      </c>
    </row>
    <row r="493" spans="2:14" hidden="1" x14ac:dyDescent="0.25">
      <c r="B493" t="s">
        <v>826</v>
      </c>
      <c r="K493" s="20" t="str">
        <f>IF(C493="","",C493-((TRUNC((C493/1000000),0))*1000000))</f>
        <v/>
      </c>
      <c r="L493" s="20" t="str">
        <f ca="1">IF(A493="","",RANDBETWEEN(1,10))</f>
        <v/>
      </c>
      <c r="M493" s="20" t="str">
        <f>IF(A493="","",IF(L493&lt;8,"calibracion","validacion"))</f>
        <v/>
      </c>
      <c r="N493" s="20" t="s">
        <v>826</v>
      </c>
    </row>
    <row r="494" spans="2:14" hidden="1" x14ac:dyDescent="0.25">
      <c r="B494" t="s">
        <v>826</v>
      </c>
      <c r="K494" s="20" t="str">
        <f>IF(C494="","",C494-((TRUNC((C494/1000000),0))*1000000))</f>
        <v/>
      </c>
      <c r="L494" s="20" t="str">
        <f ca="1">IF(A494="","",RANDBETWEEN(1,10))</f>
        <v/>
      </c>
      <c r="M494" s="20" t="str">
        <f>IF(A494="","",IF(L494&lt;8,"calibracion","validacion"))</f>
        <v/>
      </c>
      <c r="N494" s="20" t="s">
        <v>826</v>
      </c>
    </row>
    <row r="495" spans="2:14" hidden="1" x14ac:dyDescent="0.25">
      <c r="B495" t="s">
        <v>826</v>
      </c>
      <c r="K495" s="20" t="str">
        <f>IF(C495="","",C495-((TRUNC((C495/1000000),0))*1000000))</f>
        <v/>
      </c>
      <c r="L495" s="20" t="str">
        <f ca="1">IF(A495="","",RANDBETWEEN(1,10))</f>
        <v/>
      </c>
      <c r="M495" s="20" t="str">
        <f>IF(A495="","",IF(L495&lt;8,"calibracion","validacion"))</f>
        <v/>
      </c>
      <c r="N495" s="20" t="s">
        <v>826</v>
      </c>
    </row>
    <row r="496" spans="2:14" hidden="1" x14ac:dyDescent="0.25">
      <c r="B496" t="s">
        <v>826</v>
      </c>
      <c r="K496" s="20" t="str">
        <f>IF(C496="","",C496-((TRUNC((C496/1000000),0))*1000000))</f>
        <v/>
      </c>
      <c r="L496" s="20" t="str">
        <f ca="1">IF(A496="","",RANDBETWEEN(1,10))</f>
        <v/>
      </c>
      <c r="M496" s="20" t="str">
        <f>IF(A496="","",IF(L496&lt;8,"calibracion","validacion"))</f>
        <v/>
      </c>
      <c r="N496" s="20" t="s">
        <v>826</v>
      </c>
    </row>
    <row r="497" spans="2:14" hidden="1" x14ac:dyDescent="0.25">
      <c r="B497" t="s">
        <v>826</v>
      </c>
      <c r="K497" s="20" t="str">
        <f>IF(C497="","",C497-((TRUNC((C497/1000000),0))*1000000))</f>
        <v/>
      </c>
      <c r="L497" s="20" t="str">
        <f ca="1">IF(A497="","",RANDBETWEEN(1,10))</f>
        <v/>
      </c>
      <c r="M497" s="20" t="str">
        <f>IF(A497="","",IF(L497&lt;8,"calibracion","validacion"))</f>
        <v/>
      </c>
      <c r="N497" s="20" t="s">
        <v>826</v>
      </c>
    </row>
    <row r="498" spans="2:14" hidden="1" x14ac:dyDescent="0.25">
      <c r="B498" t="s">
        <v>826</v>
      </c>
      <c r="K498" s="20" t="str">
        <f>IF(C498="","",C498-((TRUNC((C498/1000000),0))*1000000))</f>
        <v/>
      </c>
      <c r="L498" s="20" t="str">
        <f ca="1">IF(A498="","",RANDBETWEEN(1,10))</f>
        <v/>
      </c>
      <c r="M498" s="20" t="str">
        <f>IF(A498="","",IF(L498&lt;8,"calibracion","validacion"))</f>
        <v/>
      </c>
      <c r="N498" s="20" t="s">
        <v>826</v>
      </c>
    </row>
    <row r="499" spans="2:14" hidden="1" x14ac:dyDescent="0.25">
      <c r="B499" t="s">
        <v>826</v>
      </c>
      <c r="K499" s="20" t="str">
        <f>IF(C499="","",C499-((TRUNC((C499/1000000),0))*1000000))</f>
        <v/>
      </c>
      <c r="L499" s="20" t="str">
        <f ca="1">IF(A499="","",RANDBETWEEN(1,10))</f>
        <v/>
      </c>
      <c r="M499" s="20" t="str">
        <f>IF(A499="","",IF(L499&lt;8,"calibracion","validacion"))</f>
        <v/>
      </c>
      <c r="N499" s="20" t="s">
        <v>826</v>
      </c>
    </row>
    <row r="500" spans="2:14" hidden="1" x14ac:dyDescent="0.25">
      <c r="B500" t="s">
        <v>826</v>
      </c>
      <c r="K500" s="20" t="str">
        <f>IF(C500="","",C500-((TRUNC((C500/1000000),0))*1000000))</f>
        <v/>
      </c>
      <c r="L500" s="20" t="str">
        <f ca="1">IF(A500="","",RANDBETWEEN(1,10))</f>
        <v/>
      </c>
      <c r="M500" s="20" t="str">
        <f>IF(A500="","",IF(L500&lt;8,"calibracion","validacion"))</f>
        <v/>
      </c>
      <c r="N500" s="20" t="s">
        <v>826</v>
      </c>
    </row>
    <row r="501" spans="2:14" hidden="1" x14ac:dyDescent="0.25">
      <c r="L501" s="20" t="str">
        <f ca="1">IF(A501="","",RANDBETWEEN(1,10))</f>
        <v/>
      </c>
      <c r="M501" s="20" t="str">
        <f>IF(A501="","",IF(L501&lt;8,"calibracion","validacion"))</f>
        <v/>
      </c>
      <c r="N501" s="20" t="s">
        <v>826</v>
      </c>
    </row>
    <row r="502" spans="2:14" hidden="1" x14ac:dyDescent="0.25">
      <c r="L502" s="20" t="str">
        <f ca="1">IF(A502="","",RANDBETWEEN(1,10))</f>
        <v/>
      </c>
      <c r="M502" s="20" t="str">
        <f>IF(A502="","",IF(L502&lt;8,"calibracion","validacion"))</f>
        <v/>
      </c>
      <c r="N502" s="20" t="s">
        <v>826</v>
      </c>
    </row>
    <row r="503" spans="2:14" hidden="1" x14ac:dyDescent="0.25">
      <c r="L503" s="20" t="str">
        <f ca="1">IF(A503="","",RANDBETWEEN(1,10))</f>
        <v/>
      </c>
      <c r="M503" s="20" t="str">
        <f>IF(A503="","",IF(L503&lt;8,"calibracion","validacion"))</f>
        <v/>
      </c>
      <c r="N503" s="20" t="s">
        <v>826</v>
      </c>
    </row>
    <row r="504" spans="2:14" hidden="1" x14ac:dyDescent="0.25">
      <c r="L504" s="20" t="str">
        <f ca="1">IF(A504="","",RANDBETWEEN(1,10))</f>
        <v/>
      </c>
      <c r="M504" s="20" t="str">
        <f>IF(A504="","",IF(L504&lt;8,"calibracion","validacion"))</f>
        <v/>
      </c>
      <c r="N504" s="20" t="s">
        <v>826</v>
      </c>
    </row>
    <row r="505" spans="2:14" hidden="1" x14ac:dyDescent="0.25">
      <c r="L505" s="20" t="str">
        <f ca="1">IF(A505="","",RANDBETWEEN(1,10))</f>
        <v/>
      </c>
      <c r="M505" s="20" t="str">
        <f>IF(A505="","",IF(L505&lt;8,"calibracion","validacion"))</f>
        <v/>
      </c>
      <c r="N505" s="20" t="s">
        <v>826</v>
      </c>
    </row>
    <row r="506" spans="2:14" hidden="1" x14ac:dyDescent="0.25">
      <c r="L506" s="20" t="str">
        <f ca="1">IF(A506="","",RANDBETWEEN(1,10))</f>
        <v/>
      </c>
      <c r="M506" s="20" t="str">
        <f>IF(A506="","",IF(L506&lt;8,"calibracion","validacion"))</f>
        <v/>
      </c>
      <c r="N506" s="20" t="s">
        <v>826</v>
      </c>
    </row>
    <row r="507" spans="2:14" hidden="1" x14ac:dyDescent="0.25">
      <c r="L507" s="20" t="str">
        <f ca="1">IF(A507="","",RANDBETWEEN(1,10))</f>
        <v/>
      </c>
      <c r="M507" s="20" t="str">
        <f>IF(A507="","",IF(L507&lt;8,"calibracion","validacion"))</f>
        <v/>
      </c>
      <c r="N507" s="20" t="s">
        <v>826</v>
      </c>
    </row>
    <row r="508" spans="2:14" hidden="1" x14ac:dyDescent="0.25">
      <c r="L508" s="20" t="str">
        <f ca="1">IF(A508="","",RANDBETWEEN(1,10))</f>
        <v/>
      </c>
      <c r="M508" s="20" t="str">
        <f>IF(A508="","",IF(L508&lt;8,"calibracion","validacion"))</f>
        <v/>
      </c>
      <c r="N508" s="20" t="s">
        <v>826</v>
      </c>
    </row>
    <row r="509" spans="2:14" hidden="1" x14ac:dyDescent="0.25">
      <c r="L509" s="20" t="str">
        <f ca="1">IF(A509="","",RANDBETWEEN(1,10))</f>
        <v/>
      </c>
      <c r="M509" s="20" t="str">
        <f>IF(A509="","",IF(L509&lt;8,"calibracion","validacion"))</f>
        <v/>
      </c>
      <c r="N509" s="20" t="s">
        <v>826</v>
      </c>
    </row>
    <row r="510" spans="2:14" hidden="1" x14ac:dyDescent="0.25">
      <c r="L510" s="20" t="str">
        <f ca="1">IF(A510="","",RANDBETWEEN(1,10))</f>
        <v/>
      </c>
      <c r="M510" s="20" t="str">
        <f>IF(A510="","",IF(L510&lt;8,"calibracion","validacion"))</f>
        <v/>
      </c>
      <c r="N510" s="20" t="s">
        <v>826</v>
      </c>
    </row>
    <row r="511" spans="2:14" hidden="1" x14ac:dyDescent="0.25">
      <c r="L511" s="20" t="str">
        <f ca="1">IF(A511="","",RANDBETWEEN(1,10))</f>
        <v/>
      </c>
      <c r="M511" s="20" t="str">
        <f>IF(A511="","",IF(L511&lt;8,"calibracion","validacion"))</f>
        <v/>
      </c>
      <c r="N511" s="20" t="s">
        <v>826</v>
      </c>
    </row>
    <row r="512" spans="2:14" hidden="1" x14ac:dyDescent="0.25">
      <c r="L512" s="20" t="str">
        <f ca="1">IF(A512="","",RANDBETWEEN(1,10))</f>
        <v/>
      </c>
      <c r="M512" s="20" t="str">
        <f>IF(A512="","",IF(L512&lt;8,"calibracion","validacion"))</f>
        <v/>
      </c>
      <c r="N512" s="20" t="s">
        <v>826</v>
      </c>
    </row>
    <row r="513" spans="12:14" hidden="1" x14ac:dyDescent="0.25">
      <c r="L513" s="20" t="str">
        <f ca="1">IF(A513="","",RANDBETWEEN(1,10))</f>
        <v/>
      </c>
      <c r="M513" s="20" t="str">
        <f>IF(A513="","",IF(L513&lt;8,"calibracion","validacion"))</f>
        <v/>
      </c>
      <c r="N513" s="20" t="s">
        <v>826</v>
      </c>
    </row>
    <row r="514" spans="12:14" hidden="1" x14ac:dyDescent="0.25">
      <c r="L514" s="20" t="str">
        <f ca="1">IF(A514="","",RANDBETWEEN(1,10))</f>
        <v/>
      </c>
      <c r="M514" s="20" t="str">
        <f>IF(A514="","",IF(L514&lt;8,"calibracion","validacion"))</f>
        <v/>
      </c>
      <c r="N514" s="20" t="s">
        <v>826</v>
      </c>
    </row>
    <row r="515" spans="12:14" hidden="1" x14ac:dyDescent="0.25">
      <c r="L515" s="20" t="str">
        <f ca="1">IF(A515="","",RANDBETWEEN(1,10))</f>
        <v/>
      </c>
      <c r="M515" s="20" t="str">
        <f>IF(A515="","",IF(L515&lt;8,"calibracion","validacion"))</f>
        <v/>
      </c>
      <c r="N515" s="20" t="s">
        <v>826</v>
      </c>
    </row>
    <row r="516" spans="12:14" hidden="1" x14ac:dyDescent="0.25">
      <c r="L516" s="20" t="str">
        <f ca="1">IF(A516="","",RANDBETWEEN(1,10))</f>
        <v/>
      </c>
      <c r="M516" s="20" t="str">
        <f>IF(A516="","",IF(L516&lt;8,"calibracion","validacion"))</f>
        <v/>
      </c>
      <c r="N516" s="20" t="s">
        <v>826</v>
      </c>
    </row>
    <row r="517" spans="12:14" hidden="1" x14ac:dyDescent="0.25">
      <c r="L517" s="20" t="str">
        <f ca="1">IF(A517="","",RANDBETWEEN(1,10))</f>
        <v/>
      </c>
      <c r="M517" s="20" t="str">
        <f>IF(A517="","",IF(L517&lt;8,"calibracion","validacion"))</f>
        <v/>
      </c>
      <c r="N517" s="20" t="s">
        <v>826</v>
      </c>
    </row>
    <row r="518" spans="12:14" hidden="1" x14ac:dyDescent="0.25">
      <c r="L518" s="20" t="str">
        <f ca="1">IF(A518="","",RANDBETWEEN(1,10))</f>
        <v/>
      </c>
      <c r="M518" s="20" t="str">
        <f>IF(A518="","",IF(L518&lt;8,"calibracion","validacion"))</f>
        <v/>
      </c>
      <c r="N518" s="20" t="s">
        <v>826</v>
      </c>
    </row>
    <row r="519" spans="12:14" hidden="1" x14ac:dyDescent="0.25">
      <c r="L519" s="20" t="str">
        <f ca="1">IF(A519="","",RANDBETWEEN(1,10))</f>
        <v/>
      </c>
      <c r="M519" s="20" t="str">
        <f>IF(A519="","",IF(L519&lt;8,"calibracion","validacion"))</f>
        <v/>
      </c>
      <c r="N519" s="20" t="s">
        <v>826</v>
      </c>
    </row>
    <row r="520" spans="12:14" hidden="1" x14ac:dyDescent="0.25">
      <c r="L520" s="20" t="str">
        <f ca="1">IF(A520="","",RANDBETWEEN(1,10))</f>
        <v/>
      </c>
      <c r="M520" s="20" t="str">
        <f>IF(A520="","",IF(L520&lt;8,"calibracion","validacion"))</f>
        <v/>
      </c>
      <c r="N520" s="20" t="s">
        <v>826</v>
      </c>
    </row>
    <row r="521" spans="12:14" hidden="1" x14ac:dyDescent="0.25">
      <c r="L521" s="20" t="str">
        <f ca="1">IF(A521="","",RANDBETWEEN(1,10))</f>
        <v/>
      </c>
      <c r="M521" s="20" t="str">
        <f>IF(A521="","",IF(L521&lt;8,"calibracion","validacion"))</f>
        <v/>
      </c>
      <c r="N521" s="20" t="s">
        <v>826</v>
      </c>
    </row>
    <row r="522" spans="12:14" hidden="1" x14ac:dyDescent="0.25">
      <c r="L522" s="20" t="str">
        <f ca="1">IF(A522="","",RANDBETWEEN(1,10))</f>
        <v/>
      </c>
      <c r="M522" s="20" t="str">
        <f>IF(A522="","",IF(L522&lt;8,"calibracion","validacion"))</f>
        <v/>
      </c>
      <c r="N522" s="20" t="s">
        <v>826</v>
      </c>
    </row>
    <row r="523" spans="12:14" hidden="1" x14ac:dyDescent="0.25">
      <c r="L523" s="20" t="str">
        <f ca="1">IF(A523="","",RANDBETWEEN(1,10))</f>
        <v/>
      </c>
      <c r="M523" s="20" t="str">
        <f>IF(A523="","",IF(L523&lt;8,"calibracion","validacion"))</f>
        <v/>
      </c>
      <c r="N523" s="20" t="s">
        <v>826</v>
      </c>
    </row>
    <row r="524" spans="12:14" hidden="1" x14ac:dyDescent="0.25">
      <c r="L524" s="20" t="str">
        <f ca="1">IF(A524="","",RANDBETWEEN(1,10))</f>
        <v/>
      </c>
      <c r="M524" s="20" t="str">
        <f>IF(A524="","",IF(L524&lt;8,"calibracion","validacion"))</f>
        <v/>
      </c>
      <c r="N524" s="20" t="s">
        <v>826</v>
      </c>
    </row>
    <row r="525" spans="12:14" hidden="1" x14ac:dyDescent="0.25">
      <c r="L525" s="20" t="str">
        <f ca="1">IF(A525="","",RANDBETWEEN(1,10))</f>
        <v/>
      </c>
      <c r="M525" s="20" t="str">
        <f>IF(A525="","",IF(L525&lt;8,"calibracion","validacion"))</f>
        <v/>
      </c>
      <c r="N525" s="20" t="s">
        <v>826</v>
      </c>
    </row>
    <row r="526" spans="12:14" hidden="1" x14ac:dyDescent="0.25">
      <c r="L526" s="20" t="str">
        <f ca="1">IF(A526="","",RANDBETWEEN(1,10))</f>
        <v/>
      </c>
      <c r="M526" s="20" t="str">
        <f>IF(A526="","",IF(L526&lt;8,"calibracion","validacion"))</f>
        <v/>
      </c>
      <c r="N526" s="20" t="s">
        <v>826</v>
      </c>
    </row>
    <row r="527" spans="12:14" hidden="1" x14ac:dyDescent="0.25">
      <c r="L527" s="20" t="str">
        <f ca="1">IF(A527="","",RANDBETWEEN(1,10))</f>
        <v/>
      </c>
      <c r="M527" s="20" t="str">
        <f>IF(A527="","",IF(L527&lt;8,"calibracion","validacion"))</f>
        <v/>
      </c>
      <c r="N527" s="20" t="s">
        <v>826</v>
      </c>
    </row>
    <row r="528" spans="12:14" hidden="1" x14ac:dyDescent="0.25">
      <c r="L528" s="20" t="str">
        <f ca="1">IF(A528="","",RANDBETWEEN(1,10))</f>
        <v/>
      </c>
      <c r="M528" s="20" t="str">
        <f>IF(A528="","",IF(L528&lt;8,"calibracion","validacion"))</f>
        <v/>
      </c>
      <c r="N528" s="20" t="s">
        <v>826</v>
      </c>
    </row>
    <row r="529" spans="12:14" hidden="1" x14ac:dyDescent="0.25">
      <c r="L529" s="20" t="str">
        <f ca="1">IF(A529="","",RANDBETWEEN(1,10))</f>
        <v/>
      </c>
      <c r="M529" s="20" t="str">
        <f>IF(A529="","",IF(L529&lt;8,"calibracion","validacion"))</f>
        <v/>
      </c>
      <c r="N529" s="20" t="s">
        <v>826</v>
      </c>
    </row>
    <row r="530" spans="12:14" hidden="1" x14ac:dyDescent="0.25">
      <c r="L530" s="20" t="str">
        <f ca="1">IF(A530="","",RANDBETWEEN(1,10))</f>
        <v/>
      </c>
      <c r="M530" s="20" t="str">
        <f>IF(A530="","",IF(L530&lt;8,"calibracion","validacion"))</f>
        <v/>
      </c>
      <c r="N530" s="20" t="s">
        <v>826</v>
      </c>
    </row>
    <row r="531" spans="12:14" hidden="1" x14ac:dyDescent="0.25">
      <c r="L531" s="20" t="str">
        <f ca="1">IF(A531="","",RANDBETWEEN(1,10))</f>
        <v/>
      </c>
      <c r="M531" s="20" t="str">
        <f>IF(A531="","",IF(L531&lt;8,"calibracion","validacion"))</f>
        <v/>
      </c>
      <c r="N531" s="20" t="s">
        <v>826</v>
      </c>
    </row>
    <row r="532" spans="12:14" hidden="1" x14ac:dyDescent="0.25">
      <c r="L532" s="20" t="str">
        <f ca="1">IF(A532="","",RANDBETWEEN(1,10))</f>
        <v/>
      </c>
      <c r="M532" s="20" t="str">
        <f>IF(A532="","",IF(L532&lt;8,"calibracion","validacion"))</f>
        <v/>
      </c>
      <c r="N532" s="20" t="s">
        <v>826</v>
      </c>
    </row>
    <row r="533" spans="12:14" hidden="1" x14ac:dyDescent="0.25">
      <c r="L533" s="20" t="str">
        <f ca="1">IF(A533="","",RANDBETWEEN(1,10))</f>
        <v/>
      </c>
      <c r="M533" s="20" t="str">
        <f>IF(A533="","",IF(L533&lt;8,"calibracion","validacion"))</f>
        <v/>
      </c>
      <c r="N533" s="20" t="s">
        <v>826</v>
      </c>
    </row>
    <row r="534" spans="12:14" hidden="1" x14ac:dyDescent="0.25">
      <c r="L534" s="20" t="str">
        <f ca="1">IF(A534="","",RANDBETWEEN(1,10))</f>
        <v/>
      </c>
      <c r="M534" s="20" t="str">
        <f>IF(A534="","",IF(L534&lt;8,"calibracion","validacion"))</f>
        <v/>
      </c>
      <c r="N534" s="20" t="s">
        <v>826</v>
      </c>
    </row>
    <row r="535" spans="12:14" hidden="1" x14ac:dyDescent="0.25">
      <c r="L535" s="20" t="str">
        <f ca="1">IF(A535="","",RANDBETWEEN(1,10))</f>
        <v/>
      </c>
      <c r="M535" s="20" t="str">
        <f>IF(A535="","",IF(L535&lt;8,"calibracion","validacion"))</f>
        <v/>
      </c>
      <c r="N535" s="20" t="s">
        <v>826</v>
      </c>
    </row>
    <row r="536" spans="12:14" hidden="1" x14ac:dyDescent="0.25">
      <c r="L536" s="20" t="str">
        <f ca="1">IF(A536="","",RANDBETWEEN(1,10))</f>
        <v/>
      </c>
      <c r="M536" s="20" t="str">
        <f>IF(A536="","",IF(L536&lt;8,"calibracion","validacion"))</f>
        <v/>
      </c>
      <c r="N536" s="20" t="s">
        <v>826</v>
      </c>
    </row>
    <row r="537" spans="12:14" hidden="1" x14ac:dyDescent="0.25">
      <c r="L537" s="20" t="str">
        <f ca="1">IF(A537="","",RANDBETWEEN(1,10))</f>
        <v/>
      </c>
      <c r="M537" s="20" t="str">
        <f>IF(A537="","",IF(L537&lt;8,"calibracion","validacion"))</f>
        <v/>
      </c>
      <c r="N537" s="20" t="s">
        <v>826</v>
      </c>
    </row>
    <row r="538" spans="12:14" hidden="1" x14ac:dyDescent="0.25">
      <c r="L538" s="20" t="str">
        <f ca="1">IF(A538="","",RANDBETWEEN(1,10))</f>
        <v/>
      </c>
      <c r="M538" s="20" t="str">
        <f>IF(A538="","",IF(L538&lt;8,"calibracion","validacion"))</f>
        <v/>
      </c>
      <c r="N538" s="20" t="s">
        <v>826</v>
      </c>
    </row>
    <row r="539" spans="12:14" hidden="1" x14ac:dyDescent="0.25">
      <c r="L539" s="20" t="str">
        <f ca="1">IF(A539="","",RANDBETWEEN(1,10))</f>
        <v/>
      </c>
      <c r="M539" s="20" t="str">
        <f>IF(A539="","",IF(L539&lt;8,"calibracion","validacion"))</f>
        <v/>
      </c>
      <c r="N539" s="20" t="s">
        <v>826</v>
      </c>
    </row>
    <row r="540" spans="12:14" hidden="1" x14ac:dyDescent="0.25">
      <c r="L540" s="20" t="str">
        <f ca="1">IF(A540="","",RANDBETWEEN(1,10))</f>
        <v/>
      </c>
      <c r="M540" s="20" t="str">
        <f>IF(A540="","",IF(L540&lt;8,"calibracion","validacion"))</f>
        <v/>
      </c>
      <c r="N540" s="20" t="s">
        <v>826</v>
      </c>
    </row>
    <row r="541" spans="12:14" hidden="1" x14ac:dyDescent="0.25">
      <c r="L541" s="20" t="str">
        <f ca="1">IF(A541="","",RANDBETWEEN(1,10))</f>
        <v/>
      </c>
      <c r="M541" s="20" t="str">
        <f>IF(A541="","",IF(L541&lt;8,"calibracion","validacion"))</f>
        <v/>
      </c>
      <c r="N541" s="20" t="s">
        <v>826</v>
      </c>
    </row>
    <row r="542" spans="12:14" hidden="1" x14ac:dyDescent="0.25">
      <c r="L542" s="20" t="str">
        <f ca="1">IF(A542="","",RANDBETWEEN(1,10))</f>
        <v/>
      </c>
      <c r="M542" s="20" t="str">
        <f>IF(A542="","",IF(L542&lt;8,"calibracion","validacion"))</f>
        <v/>
      </c>
      <c r="N542" s="20" t="s">
        <v>826</v>
      </c>
    </row>
    <row r="543" spans="12:14" hidden="1" x14ac:dyDescent="0.25">
      <c r="L543" s="20" t="str">
        <f ca="1">IF(A543="","",RANDBETWEEN(1,10))</f>
        <v/>
      </c>
      <c r="M543" s="20" t="str">
        <f>IF(A543="","",IF(L543&lt;8,"calibracion","validacion"))</f>
        <v/>
      </c>
      <c r="N543" s="20" t="s">
        <v>826</v>
      </c>
    </row>
    <row r="544" spans="12:14" hidden="1" x14ac:dyDescent="0.25">
      <c r="L544" s="20" t="str">
        <f ca="1">IF(A544="","",RANDBETWEEN(1,10))</f>
        <v/>
      </c>
      <c r="M544" s="20" t="str">
        <f>IF(A544="","",IF(L544&lt;8,"calibracion","validacion"))</f>
        <v/>
      </c>
      <c r="N544" s="20" t="s">
        <v>826</v>
      </c>
    </row>
    <row r="545" spans="12:14" hidden="1" x14ac:dyDescent="0.25">
      <c r="L545" s="20" t="str">
        <f ca="1">IF(A545="","",RANDBETWEEN(1,10))</f>
        <v/>
      </c>
      <c r="M545" s="20" t="str">
        <f>IF(A545="","",IF(L545&lt;8,"calibracion","validacion"))</f>
        <v/>
      </c>
      <c r="N545" s="20" t="s">
        <v>826</v>
      </c>
    </row>
    <row r="546" spans="12:14" hidden="1" x14ac:dyDescent="0.25">
      <c r="L546" s="20" t="str">
        <f ca="1">IF(A546="","",RANDBETWEEN(1,10))</f>
        <v/>
      </c>
      <c r="M546" s="20" t="str">
        <f>IF(A546="","",IF(L546&lt;8,"calibracion","validacion"))</f>
        <v/>
      </c>
      <c r="N546" s="20" t="s">
        <v>826</v>
      </c>
    </row>
    <row r="547" spans="12:14" hidden="1" x14ac:dyDescent="0.25">
      <c r="L547" s="20" t="str">
        <f ca="1">IF(A547="","",RANDBETWEEN(1,10))</f>
        <v/>
      </c>
      <c r="M547" s="20" t="str">
        <f>IF(A547="","",IF(L547&lt;8,"calibracion","validacion"))</f>
        <v/>
      </c>
      <c r="N547" s="20" t="s">
        <v>826</v>
      </c>
    </row>
    <row r="548" spans="12:14" hidden="1" x14ac:dyDescent="0.25">
      <c r="L548" s="20" t="str">
        <f ca="1">IF(A548="","",RANDBETWEEN(1,10))</f>
        <v/>
      </c>
      <c r="M548" s="20" t="str">
        <f>IF(A548="","",IF(L548&lt;8,"calibracion","validacion"))</f>
        <v/>
      </c>
      <c r="N548" s="20" t="s">
        <v>826</v>
      </c>
    </row>
    <row r="549" spans="12:14" hidden="1" x14ac:dyDescent="0.25">
      <c r="L549" s="20" t="str">
        <f ca="1">IF(A549="","",RANDBETWEEN(1,10))</f>
        <v/>
      </c>
      <c r="M549" s="20" t="str">
        <f>IF(A549="","",IF(L549&lt;8,"calibracion","validacion"))</f>
        <v/>
      </c>
      <c r="N549" s="20" t="s">
        <v>826</v>
      </c>
    </row>
    <row r="550" spans="12:14" hidden="1" x14ac:dyDescent="0.25">
      <c r="L550" s="20" t="str">
        <f ca="1">IF(A550="","",RANDBETWEEN(1,10))</f>
        <v/>
      </c>
      <c r="M550" s="20" t="str">
        <f>IF(A550="","",IF(L550&lt;8,"calibracion","validacion"))</f>
        <v/>
      </c>
      <c r="N550" s="20" t="s">
        <v>826</v>
      </c>
    </row>
    <row r="551" spans="12:14" hidden="1" x14ac:dyDescent="0.25">
      <c r="L551" s="20" t="str">
        <f ca="1">IF(A551="","",RANDBETWEEN(1,10))</f>
        <v/>
      </c>
      <c r="M551" s="20" t="str">
        <f>IF(A551="","",IF(L551&lt;8,"calibracion","validacion"))</f>
        <v/>
      </c>
      <c r="N551" s="20" t="s">
        <v>826</v>
      </c>
    </row>
    <row r="552" spans="12:14" hidden="1" x14ac:dyDescent="0.25">
      <c r="L552" s="20" t="str">
        <f ca="1">IF(A552="","",RANDBETWEEN(1,10))</f>
        <v/>
      </c>
      <c r="M552" s="20" t="str">
        <f>IF(A552="","",IF(L552&lt;8,"calibracion","validacion"))</f>
        <v/>
      </c>
      <c r="N552" s="20" t="s">
        <v>826</v>
      </c>
    </row>
    <row r="553" spans="12:14" hidden="1" x14ac:dyDescent="0.25">
      <c r="L553" s="20" t="str">
        <f ca="1">IF(A553="","",RANDBETWEEN(1,10))</f>
        <v/>
      </c>
      <c r="M553" s="20" t="str">
        <f>IF(A553="","",IF(L553&lt;8,"calibracion","validacion"))</f>
        <v/>
      </c>
      <c r="N553" s="20" t="s">
        <v>826</v>
      </c>
    </row>
    <row r="554" spans="12:14" hidden="1" x14ac:dyDescent="0.25">
      <c r="L554" s="20" t="str">
        <f ca="1">IF(A554="","",RANDBETWEEN(1,10))</f>
        <v/>
      </c>
      <c r="M554" s="20" t="str">
        <f>IF(A554="","",IF(L554&lt;8,"calibracion","validacion"))</f>
        <v/>
      </c>
      <c r="N554" s="20" t="s">
        <v>826</v>
      </c>
    </row>
    <row r="555" spans="12:14" hidden="1" x14ac:dyDescent="0.25">
      <c r="L555" s="20" t="str">
        <f ca="1">IF(A555="","",RANDBETWEEN(1,10))</f>
        <v/>
      </c>
      <c r="M555" s="20" t="str">
        <f>IF(A555="","",IF(L555&lt;8,"calibracion","validacion"))</f>
        <v/>
      </c>
      <c r="N555" s="20" t="s">
        <v>826</v>
      </c>
    </row>
    <row r="556" spans="12:14" hidden="1" x14ac:dyDescent="0.25">
      <c r="L556" s="20" t="str">
        <f ca="1">IF(A556="","",RANDBETWEEN(1,10))</f>
        <v/>
      </c>
      <c r="M556" s="20" t="str">
        <f>IF(A556="","",IF(L556&lt;8,"calibracion","validacion"))</f>
        <v/>
      </c>
      <c r="N556" s="20" t="s">
        <v>826</v>
      </c>
    </row>
    <row r="557" spans="12:14" hidden="1" x14ac:dyDescent="0.25">
      <c r="L557" s="20" t="str">
        <f ca="1">IF(A557="","",RANDBETWEEN(1,10))</f>
        <v/>
      </c>
      <c r="M557" s="20" t="str">
        <f>IF(A557="","",IF(L557&lt;8,"calibracion","validacion"))</f>
        <v/>
      </c>
      <c r="N557" s="20" t="s">
        <v>826</v>
      </c>
    </row>
    <row r="558" spans="12:14" hidden="1" x14ac:dyDescent="0.25">
      <c r="L558" s="20" t="str">
        <f ca="1">IF(A558="","",RANDBETWEEN(1,10))</f>
        <v/>
      </c>
      <c r="M558" s="20" t="str">
        <f>IF(A558="","",IF(L558&lt;8,"calibracion","validacion"))</f>
        <v/>
      </c>
      <c r="N558" s="20" t="s">
        <v>826</v>
      </c>
    </row>
    <row r="559" spans="12:14" hidden="1" x14ac:dyDescent="0.25">
      <c r="L559" s="20" t="str">
        <f ca="1">IF(A559="","",RANDBETWEEN(1,10))</f>
        <v/>
      </c>
      <c r="M559" s="20" t="str">
        <f>IF(A559="","",IF(L559&lt;8,"calibracion","validacion"))</f>
        <v/>
      </c>
      <c r="N559" s="20" t="s">
        <v>826</v>
      </c>
    </row>
    <row r="560" spans="12:14" hidden="1" x14ac:dyDescent="0.25">
      <c r="L560" s="20" t="str">
        <f ca="1">IF(A560="","",RANDBETWEEN(1,10))</f>
        <v/>
      </c>
      <c r="M560" s="20" t="str">
        <f>IF(A560="","",IF(L560&lt;8,"calibracion","validacion"))</f>
        <v/>
      </c>
      <c r="N560" s="20" t="s">
        <v>826</v>
      </c>
    </row>
    <row r="561" spans="12:14" hidden="1" x14ac:dyDescent="0.25">
      <c r="L561" s="20" t="str">
        <f ca="1">IF(A561="","",RANDBETWEEN(1,10))</f>
        <v/>
      </c>
      <c r="M561" s="20" t="str">
        <f>IF(A561="","",IF(L561&lt;8,"calibracion","validacion"))</f>
        <v/>
      </c>
      <c r="N561" s="20" t="s">
        <v>826</v>
      </c>
    </row>
    <row r="562" spans="12:14" hidden="1" x14ac:dyDescent="0.25">
      <c r="L562" s="20" t="str">
        <f ca="1">IF(A562="","",RANDBETWEEN(1,10))</f>
        <v/>
      </c>
      <c r="M562" s="20" t="str">
        <f>IF(A562="","",IF(L562&lt;8,"calibracion","validacion"))</f>
        <v/>
      </c>
      <c r="N562" s="20" t="s">
        <v>826</v>
      </c>
    </row>
    <row r="563" spans="12:14" hidden="1" x14ac:dyDescent="0.25">
      <c r="L563" s="20" t="str">
        <f ca="1">IF(A563="","",RANDBETWEEN(1,10))</f>
        <v/>
      </c>
      <c r="M563" s="20" t="str">
        <f>IF(A563="","",IF(L563&lt;8,"calibracion","validacion"))</f>
        <v/>
      </c>
      <c r="N563" s="20" t="s">
        <v>826</v>
      </c>
    </row>
    <row r="564" spans="12:14" hidden="1" x14ac:dyDescent="0.25">
      <c r="L564" s="20" t="str">
        <f ca="1">IF(A564="","",RANDBETWEEN(1,10))</f>
        <v/>
      </c>
      <c r="M564" s="20" t="str">
        <f>IF(A564="","",IF(L564&lt;8,"calibracion","validacion"))</f>
        <v/>
      </c>
      <c r="N564" s="20" t="s">
        <v>826</v>
      </c>
    </row>
    <row r="565" spans="12:14" hidden="1" x14ac:dyDescent="0.25">
      <c r="L565" s="20" t="str">
        <f ca="1">IF(A565="","",RANDBETWEEN(1,10))</f>
        <v/>
      </c>
      <c r="M565" s="20" t="str">
        <f>IF(A565="","",IF(L565&lt;8,"calibracion","validacion"))</f>
        <v/>
      </c>
      <c r="N565" s="20" t="s">
        <v>826</v>
      </c>
    </row>
    <row r="566" spans="12:14" hidden="1" x14ac:dyDescent="0.25">
      <c r="L566" s="20" t="str">
        <f ca="1">IF(A566="","",RANDBETWEEN(1,10))</f>
        <v/>
      </c>
      <c r="M566" s="20" t="str">
        <f>IF(A566="","",IF(L566&lt;8,"calibracion","validacion"))</f>
        <v/>
      </c>
      <c r="N566" s="20" t="s">
        <v>826</v>
      </c>
    </row>
    <row r="567" spans="12:14" hidden="1" x14ac:dyDescent="0.25">
      <c r="L567" s="20" t="str">
        <f ca="1">IF(A567="","",RANDBETWEEN(1,10))</f>
        <v/>
      </c>
      <c r="M567" s="20" t="str">
        <f>IF(A567="","",IF(L567&lt;8,"calibracion","validacion"))</f>
        <v/>
      </c>
      <c r="N567" s="20" t="s">
        <v>826</v>
      </c>
    </row>
    <row r="568" spans="12:14" hidden="1" x14ac:dyDescent="0.25">
      <c r="L568" s="20" t="str">
        <f ca="1">IF(A568="","",RANDBETWEEN(1,10))</f>
        <v/>
      </c>
      <c r="M568" s="20" t="str">
        <f>IF(A568="","",IF(L568&lt;8,"calibracion","validacion"))</f>
        <v/>
      </c>
      <c r="N568" s="20" t="s">
        <v>826</v>
      </c>
    </row>
    <row r="569" spans="12:14" hidden="1" x14ac:dyDescent="0.25">
      <c r="L569" s="20" t="str">
        <f ca="1">IF(A569="","",RANDBETWEEN(1,10))</f>
        <v/>
      </c>
      <c r="M569" s="20" t="str">
        <f>IF(A569="","",IF(L569&lt;8,"calibracion","validacion"))</f>
        <v/>
      </c>
      <c r="N569" s="20" t="s">
        <v>826</v>
      </c>
    </row>
    <row r="570" spans="12:14" hidden="1" x14ac:dyDescent="0.25">
      <c r="L570" s="20" t="str">
        <f ca="1">IF(A570="","",RANDBETWEEN(1,10))</f>
        <v/>
      </c>
      <c r="M570" s="20" t="str">
        <f>IF(A570="","",IF(L570&lt;8,"calibracion","validacion"))</f>
        <v/>
      </c>
      <c r="N570" s="20" t="s">
        <v>826</v>
      </c>
    </row>
    <row r="571" spans="12:14" hidden="1" x14ac:dyDescent="0.25">
      <c r="L571" s="20" t="str">
        <f ca="1">IF(A571="","",RANDBETWEEN(1,10))</f>
        <v/>
      </c>
      <c r="M571" s="20" t="str">
        <f>IF(A571="","",IF(L571&lt;8,"calibracion","validacion"))</f>
        <v/>
      </c>
      <c r="N571" s="20" t="s">
        <v>826</v>
      </c>
    </row>
    <row r="572" spans="12:14" hidden="1" x14ac:dyDescent="0.25">
      <c r="L572" s="20" t="str">
        <f ca="1">IF(A572="","",RANDBETWEEN(1,10))</f>
        <v/>
      </c>
      <c r="M572" s="20" t="str">
        <f>IF(A572="","",IF(L572&lt;8,"calibracion","validacion"))</f>
        <v/>
      </c>
      <c r="N572" s="20" t="s">
        <v>826</v>
      </c>
    </row>
    <row r="573" spans="12:14" hidden="1" x14ac:dyDescent="0.25">
      <c r="L573" s="20" t="str">
        <f ca="1">IF(A573="","",RANDBETWEEN(1,10))</f>
        <v/>
      </c>
      <c r="M573" s="20" t="str">
        <f>IF(A573="","",IF(L573&lt;8,"calibracion","validacion"))</f>
        <v/>
      </c>
      <c r="N573" s="20" t="s">
        <v>826</v>
      </c>
    </row>
    <row r="574" spans="12:14" hidden="1" x14ac:dyDescent="0.25">
      <c r="L574" s="20" t="str">
        <f ca="1">IF(A574="","",RANDBETWEEN(1,10))</f>
        <v/>
      </c>
      <c r="M574" s="20" t="str">
        <f>IF(A574="","",IF(L574&lt;8,"calibracion","validacion"))</f>
        <v/>
      </c>
      <c r="N574" s="20" t="s">
        <v>826</v>
      </c>
    </row>
    <row r="575" spans="12:14" hidden="1" x14ac:dyDescent="0.25">
      <c r="L575" s="20" t="str">
        <f ca="1">IF(A575="","",RANDBETWEEN(1,10))</f>
        <v/>
      </c>
      <c r="M575" s="20" t="str">
        <f>IF(A575="","",IF(L575&lt;8,"calibracion","validacion"))</f>
        <v/>
      </c>
      <c r="N575" s="20" t="s">
        <v>826</v>
      </c>
    </row>
    <row r="576" spans="12:14" hidden="1" x14ac:dyDescent="0.25">
      <c r="L576" s="20" t="str">
        <f ca="1">IF(A576="","",RANDBETWEEN(1,10))</f>
        <v/>
      </c>
      <c r="M576" s="20" t="str">
        <f>IF(A576="","",IF(L576&lt;8,"calibracion","validacion"))</f>
        <v/>
      </c>
      <c r="N576" s="20" t="s">
        <v>826</v>
      </c>
    </row>
    <row r="577" spans="12:14" hidden="1" x14ac:dyDescent="0.25">
      <c r="L577" s="20" t="str">
        <f ca="1">IF(A577="","",RANDBETWEEN(1,10))</f>
        <v/>
      </c>
      <c r="M577" s="20" t="str">
        <f>IF(A577="","",IF(L577&lt;8,"calibracion","validacion"))</f>
        <v/>
      </c>
      <c r="N577" s="20" t="s">
        <v>826</v>
      </c>
    </row>
    <row r="578" spans="12:14" hidden="1" x14ac:dyDescent="0.25">
      <c r="L578" s="20" t="str">
        <f ca="1">IF(A578="","",RANDBETWEEN(1,10))</f>
        <v/>
      </c>
      <c r="M578" s="20" t="str">
        <f>IF(A578="","",IF(L578&lt;8,"calibracion","validacion"))</f>
        <v/>
      </c>
      <c r="N578" s="20" t="s">
        <v>826</v>
      </c>
    </row>
    <row r="579" spans="12:14" hidden="1" x14ac:dyDescent="0.25">
      <c r="L579" s="20" t="str">
        <f ca="1">IF(A579="","",RANDBETWEEN(1,10))</f>
        <v/>
      </c>
      <c r="M579" s="20" t="str">
        <f>IF(A579="","",IF(L579&lt;8,"calibracion","validacion"))</f>
        <v/>
      </c>
      <c r="N579" s="20" t="s">
        <v>826</v>
      </c>
    </row>
    <row r="580" spans="12:14" hidden="1" x14ac:dyDescent="0.25">
      <c r="L580" s="20" t="str">
        <f ca="1">IF(A580="","",RANDBETWEEN(1,10))</f>
        <v/>
      </c>
      <c r="M580" s="20" t="str">
        <f>IF(A580="","",IF(L580&lt;8,"calibracion","validacion"))</f>
        <v/>
      </c>
      <c r="N580" s="20" t="s">
        <v>826</v>
      </c>
    </row>
    <row r="581" spans="12:14" hidden="1" x14ac:dyDescent="0.25">
      <c r="L581" s="20" t="str">
        <f ca="1">IF(A581="","",RANDBETWEEN(1,10))</f>
        <v/>
      </c>
      <c r="M581" s="20" t="str">
        <f>IF(A581="","",IF(L581&lt;8,"calibracion","validacion"))</f>
        <v/>
      </c>
      <c r="N581" s="20" t="s">
        <v>826</v>
      </c>
    </row>
    <row r="582" spans="12:14" hidden="1" x14ac:dyDescent="0.25">
      <c r="L582" s="20" t="str">
        <f ca="1">IF(A582="","",RANDBETWEEN(1,10))</f>
        <v/>
      </c>
      <c r="M582" s="20" t="str">
        <f>IF(A582="","",IF(L582&lt;8,"calibracion","validacion"))</f>
        <v/>
      </c>
      <c r="N582" s="20" t="s">
        <v>826</v>
      </c>
    </row>
    <row r="583" spans="12:14" hidden="1" x14ac:dyDescent="0.25">
      <c r="L583" s="20" t="str">
        <f ca="1">IF(A583="","",RANDBETWEEN(1,10))</f>
        <v/>
      </c>
      <c r="M583" s="20" t="str">
        <f>IF(A583="","",IF(L583&lt;8,"calibracion","validacion"))</f>
        <v/>
      </c>
      <c r="N583" s="20" t="s">
        <v>826</v>
      </c>
    </row>
    <row r="584" spans="12:14" hidden="1" x14ac:dyDescent="0.25">
      <c r="L584" s="20" t="str">
        <f ca="1">IF(A584="","",RANDBETWEEN(1,10))</f>
        <v/>
      </c>
      <c r="M584" s="20" t="str">
        <f>IF(A584="","",IF(L584&lt;8,"calibracion","validacion"))</f>
        <v/>
      </c>
      <c r="N584" s="20" t="s">
        <v>826</v>
      </c>
    </row>
    <row r="585" spans="12:14" hidden="1" x14ac:dyDescent="0.25">
      <c r="L585" s="20" t="str">
        <f ca="1">IF(A585="","",RANDBETWEEN(1,10))</f>
        <v/>
      </c>
      <c r="M585" s="20" t="str">
        <f>IF(A585="","",IF(L585&lt;8,"calibracion","validacion"))</f>
        <v/>
      </c>
      <c r="N585" s="20" t="s">
        <v>826</v>
      </c>
    </row>
    <row r="586" spans="12:14" hidden="1" x14ac:dyDescent="0.25">
      <c r="L586" s="20" t="str">
        <f ca="1">IF(A586="","",RANDBETWEEN(1,10))</f>
        <v/>
      </c>
      <c r="M586" s="20" t="str">
        <f>IF(A586="","",IF(L586&lt;8,"calibracion","validacion"))</f>
        <v/>
      </c>
      <c r="N586" s="20" t="s">
        <v>826</v>
      </c>
    </row>
    <row r="587" spans="12:14" hidden="1" x14ac:dyDescent="0.25">
      <c r="L587" s="20" t="str">
        <f ca="1">IF(A587="","",RANDBETWEEN(1,10))</f>
        <v/>
      </c>
      <c r="M587" s="20" t="str">
        <f>IF(A587="","",IF(L587&lt;8,"calibracion","validacion"))</f>
        <v/>
      </c>
      <c r="N587" s="20" t="s">
        <v>826</v>
      </c>
    </row>
    <row r="588" spans="12:14" hidden="1" x14ac:dyDescent="0.25">
      <c r="L588" s="20" t="str">
        <f ca="1">IF(A588="","",RANDBETWEEN(1,10))</f>
        <v/>
      </c>
      <c r="M588" s="20" t="str">
        <f>IF(A588="","",IF(L588&lt;8,"calibracion","validacion"))</f>
        <v/>
      </c>
      <c r="N588" s="20" t="s">
        <v>826</v>
      </c>
    </row>
    <row r="589" spans="12:14" hidden="1" x14ac:dyDescent="0.25">
      <c r="L589" s="20" t="str">
        <f ca="1">IF(A589="","",RANDBETWEEN(1,10))</f>
        <v/>
      </c>
      <c r="M589" s="20" t="str">
        <f>IF(A589="","",IF(L589&lt;8,"calibracion","validacion"))</f>
        <v/>
      </c>
      <c r="N589" s="20" t="s">
        <v>826</v>
      </c>
    </row>
    <row r="590" spans="12:14" hidden="1" x14ac:dyDescent="0.25">
      <c r="L590" s="20" t="str">
        <f ca="1">IF(A590="","",RANDBETWEEN(1,10))</f>
        <v/>
      </c>
      <c r="M590" s="20" t="str">
        <f>IF(A590="","",IF(L590&lt;8,"calibracion","validacion"))</f>
        <v/>
      </c>
      <c r="N590" s="20" t="s">
        <v>826</v>
      </c>
    </row>
    <row r="591" spans="12:14" hidden="1" x14ac:dyDescent="0.25">
      <c r="L591" s="20" t="str">
        <f ca="1">IF(A591="","",RANDBETWEEN(1,10))</f>
        <v/>
      </c>
      <c r="M591" s="20" t="str">
        <f>IF(A591="","",IF(L591&lt;8,"calibracion","validacion"))</f>
        <v/>
      </c>
      <c r="N591" s="20" t="s">
        <v>826</v>
      </c>
    </row>
    <row r="592" spans="12:14" hidden="1" x14ac:dyDescent="0.25">
      <c r="L592" s="20" t="str">
        <f ca="1">IF(A592="","",RANDBETWEEN(1,10))</f>
        <v/>
      </c>
      <c r="M592" s="20" t="str">
        <f>IF(A592="","",IF(L592&lt;8,"calibracion","validacion"))</f>
        <v/>
      </c>
      <c r="N592" s="20" t="s">
        <v>826</v>
      </c>
    </row>
    <row r="593" spans="12:14" hidden="1" x14ac:dyDescent="0.25">
      <c r="L593" s="20" t="str">
        <f ca="1">IF(A593="","",RANDBETWEEN(1,10))</f>
        <v/>
      </c>
      <c r="M593" s="20" t="str">
        <f>IF(A593="","",IF(L593&lt;8,"calibracion","validacion"))</f>
        <v/>
      </c>
      <c r="N593" s="20" t="s">
        <v>826</v>
      </c>
    </row>
    <row r="594" spans="12:14" hidden="1" x14ac:dyDescent="0.25">
      <c r="L594" s="20" t="str">
        <f ca="1">IF(A594="","",RANDBETWEEN(1,10))</f>
        <v/>
      </c>
      <c r="M594" s="20" t="str">
        <f>IF(A594="","",IF(L594&lt;8,"calibracion","validacion"))</f>
        <v/>
      </c>
      <c r="N594" s="20" t="s">
        <v>826</v>
      </c>
    </row>
    <row r="595" spans="12:14" hidden="1" x14ac:dyDescent="0.25">
      <c r="L595" s="20" t="str">
        <f ca="1">IF(A595="","",RANDBETWEEN(1,10))</f>
        <v/>
      </c>
      <c r="M595" s="20" t="str">
        <f>IF(A595="","",IF(L595&lt;8,"calibracion","validacion"))</f>
        <v/>
      </c>
      <c r="N595" s="20" t="s">
        <v>826</v>
      </c>
    </row>
    <row r="596" spans="12:14" hidden="1" x14ac:dyDescent="0.25">
      <c r="L596" s="20" t="str">
        <f ca="1">IF(A596="","",RANDBETWEEN(1,10))</f>
        <v/>
      </c>
      <c r="M596" s="20" t="str">
        <f>IF(A596="","",IF(L596&lt;8,"calibracion","validacion"))</f>
        <v/>
      </c>
      <c r="N596" s="20" t="s">
        <v>826</v>
      </c>
    </row>
    <row r="597" spans="12:14" hidden="1" x14ac:dyDescent="0.25">
      <c r="L597" s="20" t="str">
        <f ca="1">IF(A597="","",RANDBETWEEN(1,10))</f>
        <v/>
      </c>
      <c r="M597" s="20" t="str">
        <f>IF(A597="","",IF(L597&lt;8,"calibracion","validacion"))</f>
        <v/>
      </c>
      <c r="N597" s="20" t="s">
        <v>826</v>
      </c>
    </row>
    <row r="598" spans="12:14" hidden="1" x14ac:dyDescent="0.25">
      <c r="L598" s="20" t="str">
        <f ca="1">IF(A598="","",RANDBETWEEN(1,10))</f>
        <v/>
      </c>
      <c r="M598" s="20" t="str">
        <f>IF(A598="","",IF(L598&lt;8,"calibracion","validacion"))</f>
        <v/>
      </c>
      <c r="N598" s="20" t="s">
        <v>826</v>
      </c>
    </row>
    <row r="599" spans="12:14" hidden="1" x14ac:dyDescent="0.25">
      <c r="L599" s="20" t="str">
        <f ca="1">IF(A599="","",RANDBETWEEN(1,10))</f>
        <v/>
      </c>
      <c r="M599" s="20" t="str">
        <f>IF(A599="","",IF(L599&lt;8,"calibracion","validacion"))</f>
        <v/>
      </c>
      <c r="N599" s="20" t="s">
        <v>826</v>
      </c>
    </row>
    <row r="600" spans="12:14" hidden="1" x14ac:dyDescent="0.25">
      <c r="L600" s="20" t="str">
        <f ca="1">IF(A600="","",RANDBETWEEN(1,10))</f>
        <v/>
      </c>
      <c r="M600" s="20" t="str">
        <f>IF(A600="","",IF(L600&lt;8,"calibracion","validacion"))</f>
        <v/>
      </c>
      <c r="N600" s="20" t="s">
        <v>826</v>
      </c>
    </row>
    <row r="601" spans="12:14" hidden="1" x14ac:dyDescent="0.25">
      <c r="L601" s="20" t="str">
        <f ca="1">IF(A601="","",RANDBETWEEN(1,10))</f>
        <v/>
      </c>
      <c r="M601" s="20" t="str">
        <f>IF(A601="","",IF(L601&lt;8,"calibracion","validacion"))</f>
        <v/>
      </c>
      <c r="N601" s="20" t="s">
        <v>826</v>
      </c>
    </row>
    <row r="602" spans="12:14" hidden="1" x14ac:dyDescent="0.25">
      <c r="L602" s="20" t="str">
        <f ca="1">IF(A602="","",RANDBETWEEN(1,10))</f>
        <v/>
      </c>
      <c r="M602" s="20" t="str">
        <f>IF(A602="","",IF(L602&lt;8,"calibracion","validacion"))</f>
        <v/>
      </c>
      <c r="N602" s="20" t="s">
        <v>826</v>
      </c>
    </row>
    <row r="603" spans="12:14" hidden="1" x14ac:dyDescent="0.25">
      <c r="L603" s="20" t="str">
        <f ca="1">IF(A603="","",RANDBETWEEN(1,10))</f>
        <v/>
      </c>
      <c r="M603" s="20" t="str">
        <f>IF(A603="","",IF(L603&lt;8,"calibracion","validacion"))</f>
        <v/>
      </c>
      <c r="N603" s="20" t="s">
        <v>826</v>
      </c>
    </row>
    <row r="604" spans="12:14" hidden="1" x14ac:dyDescent="0.25">
      <c r="L604" s="20" t="str">
        <f ca="1">IF(A604="","",RANDBETWEEN(1,10))</f>
        <v/>
      </c>
      <c r="M604" s="20" t="str">
        <f>IF(A604="","",IF(L604&lt;8,"calibracion","validacion"))</f>
        <v/>
      </c>
      <c r="N604" s="20" t="s">
        <v>826</v>
      </c>
    </row>
    <row r="605" spans="12:14" hidden="1" x14ac:dyDescent="0.25">
      <c r="L605" s="20" t="str">
        <f ca="1">IF(A605="","",RANDBETWEEN(1,10))</f>
        <v/>
      </c>
      <c r="M605" s="20" t="str">
        <f>IF(A605="","",IF(L605&lt;8,"calibracion","validacion"))</f>
        <v/>
      </c>
      <c r="N605" s="20" t="s">
        <v>826</v>
      </c>
    </row>
    <row r="606" spans="12:14" hidden="1" x14ac:dyDescent="0.25">
      <c r="L606" s="20" t="str">
        <f ca="1">IF(A606="","",RANDBETWEEN(1,10))</f>
        <v/>
      </c>
      <c r="M606" s="20" t="str">
        <f>IF(A606="","",IF(L606&lt;8,"calibracion","validacion"))</f>
        <v/>
      </c>
      <c r="N606" s="20" t="s">
        <v>826</v>
      </c>
    </row>
    <row r="607" spans="12:14" hidden="1" x14ac:dyDescent="0.25">
      <c r="L607" s="20" t="str">
        <f ca="1">IF(A607="","",RANDBETWEEN(1,10))</f>
        <v/>
      </c>
      <c r="M607" s="20" t="str">
        <f>IF(A607="","",IF(L607&lt;8,"calibracion","validacion"))</f>
        <v/>
      </c>
      <c r="N607" s="20" t="s">
        <v>826</v>
      </c>
    </row>
    <row r="608" spans="12:14" hidden="1" x14ac:dyDescent="0.25">
      <c r="L608" s="20" t="str">
        <f ca="1">IF(A608="","",RANDBETWEEN(1,10))</f>
        <v/>
      </c>
      <c r="M608" s="20" t="str">
        <f>IF(A608="","",IF(L608&lt;8,"calibracion","validacion"))</f>
        <v/>
      </c>
      <c r="N608" s="20" t="s">
        <v>826</v>
      </c>
    </row>
    <row r="609" spans="12:14" hidden="1" x14ac:dyDescent="0.25">
      <c r="L609" s="20" t="str">
        <f ca="1">IF(A609="","",RANDBETWEEN(1,10))</f>
        <v/>
      </c>
      <c r="M609" s="20" t="str">
        <f>IF(A609="","",IF(L609&lt;8,"calibracion","validacion"))</f>
        <v/>
      </c>
      <c r="N609" s="20" t="s">
        <v>826</v>
      </c>
    </row>
    <row r="610" spans="12:14" hidden="1" x14ac:dyDescent="0.25">
      <c r="L610" s="20" t="str">
        <f ca="1">IF(A610="","",RANDBETWEEN(1,10))</f>
        <v/>
      </c>
      <c r="M610" s="20" t="str">
        <f>IF(A610="","",IF(L610&lt;8,"calibracion","validacion"))</f>
        <v/>
      </c>
      <c r="N610" s="20" t="s">
        <v>826</v>
      </c>
    </row>
    <row r="611" spans="12:14" hidden="1" x14ac:dyDescent="0.25">
      <c r="L611" s="20" t="str">
        <f ca="1">IF(A611="","",RANDBETWEEN(1,10))</f>
        <v/>
      </c>
      <c r="M611" s="20" t="str">
        <f>IF(A611="","",IF(L611&lt;8,"calibracion","validacion"))</f>
        <v/>
      </c>
      <c r="N611" s="20" t="s">
        <v>826</v>
      </c>
    </row>
    <row r="612" spans="12:14" hidden="1" x14ac:dyDescent="0.25">
      <c r="L612" s="20" t="str">
        <f ca="1">IF(A612="","",RANDBETWEEN(1,10))</f>
        <v/>
      </c>
      <c r="M612" s="20" t="str">
        <f>IF(A612="","",IF(L612&lt;8,"calibracion","validacion"))</f>
        <v/>
      </c>
      <c r="N612" s="20" t="s">
        <v>826</v>
      </c>
    </row>
    <row r="613" spans="12:14" hidden="1" x14ac:dyDescent="0.25">
      <c r="L613" s="20" t="str">
        <f ca="1">IF(A613="","",RANDBETWEEN(1,10))</f>
        <v/>
      </c>
      <c r="M613" s="20" t="str">
        <f>IF(A613="","",IF(L613&lt;8,"calibracion","validacion"))</f>
        <v/>
      </c>
      <c r="N613" s="20" t="s">
        <v>826</v>
      </c>
    </row>
    <row r="614" spans="12:14" hidden="1" x14ac:dyDescent="0.25">
      <c r="L614" s="20" t="str">
        <f ca="1">IF(A614="","",RANDBETWEEN(1,10))</f>
        <v/>
      </c>
      <c r="M614" s="20" t="str">
        <f>IF(A614="","",IF(L614&lt;8,"calibracion","validacion"))</f>
        <v/>
      </c>
      <c r="N614" s="20" t="s">
        <v>826</v>
      </c>
    </row>
    <row r="615" spans="12:14" hidden="1" x14ac:dyDescent="0.25">
      <c r="L615" s="20" t="str">
        <f ca="1">IF(A615="","",RANDBETWEEN(1,10))</f>
        <v/>
      </c>
      <c r="M615" s="20" t="str">
        <f>IF(A615="","",IF(L615&lt;8,"calibracion","validacion"))</f>
        <v/>
      </c>
      <c r="N615" s="20" t="s">
        <v>826</v>
      </c>
    </row>
    <row r="616" spans="12:14" hidden="1" x14ac:dyDescent="0.25">
      <c r="L616" s="20" t="str">
        <f ca="1">IF(A616="","",RANDBETWEEN(1,10))</f>
        <v/>
      </c>
      <c r="M616" s="20" t="str">
        <f>IF(A616="","",IF(L616&lt;8,"calibracion","validacion"))</f>
        <v/>
      </c>
      <c r="N616" s="20" t="s">
        <v>826</v>
      </c>
    </row>
    <row r="617" spans="12:14" hidden="1" x14ac:dyDescent="0.25">
      <c r="L617" s="20" t="str">
        <f ca="1">IF(A617="","",RANDBETWEEN(1,10))</f>
        <v/>
      </c>
      <c r="M617" s="20" t="str">
        <f>IF(A617="","",IF(L617&lt;8,"calibracion","validacion"))</f>
        <v/>
      </c>
      <c r="N617" s="20" t="s">
        <v>826</v>
      </c>
    </row>
    <row r="618" spans="12:14" hidden="1" x14ac:dyDescent="0.25">
      <c r="L618" s="20" t="str">
        <f ca="1">IF(A618="","",RANDBETWEEN(1,10))</f>
        <v/>
      </c>
      <c r="M618" s="20" t="str">
        <f>IF(A618="","",IF(L618&lt;8,"calibracion","validacion"))</f>
        <v/>
      </c>
      <c r="N618" s="20" t="s">
        <v>826</v>
      </c>
    </row>
    <row r="619" spans="12:14" hidden="1" x14ac:dyDescent="0.25">
      <c r="L619" s="20" t="str">
        <f ca="1">IF(A619="","",RANDBETWEEN(1,10))</f>
        <v/>
      </c>
      <c r="M619" s="20" t="str">
        <f>IF(A619="","",IF(L619&lt;8,"calibracion","validacion"))</f>
        <v/>
      </c>
      <c r="N619" s="20" t="s">
        <v>826</v>
      </c>
    </row>
    <row r="620" spans="12:14" hidden="1" x14ac:dyDescent="0.25">
      <c r="L620" s="20" t="str">
        <f ca="1">IF(A620="","",RANDBETWEEN(1,10))</f>
        <v/>
      </c>
      <c r="M620" s="20" t="str">
        <f>IF(A620="","",IF(L620&lt;8,"calibracion","validacion"))</f>
        <v/>
      </c>
      <c r="N620" s="20" t="s">
        <v>826</v>
      </c>
    </row>
    <row r="621" spans="12:14" hidden="1" x14ac:dyDescent="0.25">
      <c r="L621" s="20" t="str">
        <f ca="1">IF(A621="","",RANDBETWEEN(1,10))</f>
        <v/>
      </c>
      <c r="M621" s="20" t="str">
        <f>IF(A621="","",IF(L621&lt;8,"calibracion","validacion"))</f>
        <v/>
      </c>
      <c r="N621" s="20" t="s">
        <v>826</v>
      </c>
    </row>
    <row r="622" spans="12:14" hidden="1" x14ac:dyDescent="0.25">
      <c r="L622" s="20" t="str">
        <f ca="1">IF(A622="","",RANDBETWEEN(1,10))</f>
        <v/>
      </c>
      <c r="M622" s="20" t="str">
        <f>IF(A622="","",IF(L622&lt;8,"calibracion","validacion"))</f>
        <v/>
      </c>
      <c r="N622" s="20" t="s">
        <v>826</v>
      </c>
    </row>
    <row r="623" spans="12:14" hidden="1" x14ac:dyDescent="0.25">
      <c r="L623" s="20" t="str">
        <f ca="1">IF(A623="","",RANDBETWEEN(1,10))</f>
        <v/>
      </c>
      <c r="M623" s="20" t="str">
        <f>IF(A623="","",IF(L623&lt;8,"calibracion","validacion"))</f>
        <v/>
      </c>
      <c r="N623" s="20" t="s">
        <v>826</v>
      </c>
    </row>
    <row r="624" spans="12:14" hidden="1" x14ac:dyDescent="0.25">
      <c r="L624" s="20" t="str">
        <f ca="1">IF(A624="","",RANDBETWEEN(1,10))</f>
        <v/>
      </c>
      <c r="M624" s="20" t="str">
        <f>IF(A624="","",IF(L624&lt;8,"calibracion","validacion"))</f>
        <v/>
      </c>
      <c r="N624" s="20" t="s">
        <v>826</v>
      </c>
    </row>
    <row r="625" spans="12:14" hidden="1" x14ac:dyDescent="0.25">
      <c r="L625" s="20" t="str">
        <f ca="1">IF(A625="","",RANDBETWEEN(1,10))</f>
        <v/>
      </c>
      <c r="M625" s="20" t="str">
        <f>IF(A625="","",IF(L625&lt;8,"calibracion","validacion"))</f>
        <v/>
      </c>
      <c r="N625" s="20" t="s">
        <v>826</v>
      </c>
    </row>
    <row r="626" spans="12:14" hidden="1" x14ac:dyDescent="0.25">
      <c r="L626" s="20" t="str">
        <f ca="1">IF(A626="","",RANDBETWEEN(1,10))</f>
        <v/>
      </c>
      <c r="M626" s="20" t="str">
        <f>IF(A626="","",IF(L626&lt;8,"calibracion","validacion"))</f>
        <v/>
      </c>
      <c r="N626" s="20" t="s">
        <v>826</v>
      </c>
    </row>
    <row r="627" spans="12:14" hidden="1" x14ac:dyDescent="0.25">
      <c r="L627" s="20" t="str">
        <f ca="1">IF(A627="","",RANDBETWEEN(1,10))</f>
        <v/>
      </c>
      <c r="M627" s="20" t="str">
        <f>IF(A627="","",IF(L627&lt;8,"calibracion","validacion"))</f>
        <v/>
      </c>
      <c r="N627" s="20" t="s">
        <v>826</v>
      </c>
    </row>
    <row r="628" spans="12:14" hidden="1" x14ac:dyDescent="0.25">
      <c r="L628" s="20" t="str">
        <f ca="1">IF(A628="","",RANDBETWEEN(1,10))</f>
        <v/>
      </c>
      <c r="M628" s="20" t="str">
        <f>IF(A628="","",IF(L628&lt;8,"calibracion","validacion"))</f>
        <v/>
      </c>
      <c r="N628" s="20" t="s">
        <v>826</v>
      </c>
    </row>
    <row r="629" spans="12:14" hidden="1" x14ac:dyDescent="0.25">
      <c r="L629" s="20" t="str">
        <f ca="1">IF(A629="","",RANDBETWEEN(1,10))</f>
        <v/>
      </c>
      <c r="M629" s="20" t="str">
        <f>IF(A629="","",IF(L629&lt;8,"calibracion","validacion"))</f>
        <v/>
      </c>
      <c r="N629" s="20" t="s">
        <v>826</v>
      </c>
    </row>
    <row r="630" spans="12:14" hidden="1" x14ac:dyDescent="0.25">
      <c r="L630" s="20" t="str">
        <f ca="1">IF(A630="","",RANDBETWEEN(1,10))</f>
        <v/>
      </c>
      <c r="M630" s="20" t="str">
        <f>IF(A630="","",IF(L630&lt;8,"calibracion","validacion"))</f>
        <v/>
      </c>
      <c r="N630" s="20" t="s">
        <v>826</v>
      </c>
    </row>
    <row r="631" spans="12:14" hidden="1" x14ac:dyDescent="0.25">
      <c r="L631" s="20" t="str">
        <f ca="1">IF(A631="","",RANDBETWEEN(1,10))</f>
        <v/>
      </c>
      <c r="M631" s="20" t="str">
        <f>IF(A631="","",IF(L631&lt;8,"calibracion","validacion"))</f>
        <v/>
      </c>
      <c r="N631" s="20" t="s">
        <v>826</v>
      </c>
    </row>
    <row r="632" spans="12:14" hidden="1" x14ac:dyDescent="0.25">
      <c r="L632" s="20" t="str">
        <f ca="1">IF(A632="","",RANDBETWEEN(1,10))</f>
        <v/>
      </c>
      <c r="M632" s="20" t="str">
        <f>IF(A632="","",IF(L632&lt;8,"calibracion","validacion"))</f>
        <v/>
      </c>
      <c r="N632" s="20" t="s">
        <v>826</v>
      </c>
    </row>
    <row r="633" spans="12:14" hidden="1" x14ac:dyDescent="0.25">
      <c r="L633" s="20" t="str">
        <f ca="1">IF(A633="","",RANDBETWEEN(1,10))</f>
        <v/>
      </c>
      <c r="M633" s="20" t="str">
        <f>IF(A633="","",IF(L633&lt;8,"calibracion","validacion"))</f>
        <v/>
      </c>
      <c r="N633" s="20" t="s">
        <v>826</v>
      </c>
    </row>
    <row r="634" spans="12:14" hidden="1" x14ac:dyDescent="0.25">
      <c r="L634" s="20" t="str">
        <f ca="1">IF(A634="","",RANDBETWEEN(1,10))</f>
        <v/>
      </c>
      <c r="M634" s="20" t="str">
        <f>IF(A634="","",IF(L634&lt;8,"calibracion","validacion"))</f>
        <v/>
      </c>
      <c r="N634" s="20" t="s">
        <v>826</v>
      </c>
    </row>
    <row r="635" spans="12:14" hidden="1" x14ac:dyDescent="0.25">
      <c r="L635" s="20" t="str">
        <f ca="1">IF(A635="","",RANDBETWEEN(1,10))</f>
        <v/>
      </c>
      <c r="M635" s="20" t="str">
        <f>IF(A635="","",IF(L635&lt;8,"calibracion","validacion"))</f>
        <v/>
      </c>
      <c r="N635" s="20" t="s">
        <v>826</v>
      </c>
    </row>
    <row r="636" spans="12:14" hidden="1" x14ac:dyDescent="0.25">
      <c r="L636" s="20" t="str">
        <f ca="1">IF(A636="","",RANDBETWEEN(1,10))</f>
        <v/>
      </c>
      <c r="M636" s="20" t="str">
        <f>IF(A636="","",IF(L636&lt;8,"calibracion","validacion"))</f>
        <v/>
      </c>
      <c r="N636" s="20" t="s">
        <v>826</v>
      </c>
    </row>
    <row r="637" spans="12:14" hidden="1" x14ac:dyDescent="0.25">
      <c r="L637" s="20" t="str">
        <f ca="1">IF(A637="","",RANDBETWEEN(1,10))</f>
        <v/>
      </c>
      <c r="M637" s="20" t="str">
        <f>IF(A637="","",IF(L637&lt;8,"calibracion","validacion"))</f>
        <v/>
      </c>
      <c r="N637" s="20" t="s">
        <v>826</v>
      </c>
    </row>
    <row r="638" spans="12:14" hidden="1" x14ac:dyDescent="0.25">
      <c r="L638" s="20" t="str">
        <f ca="1">IF(A638="","",RANDBETWEEN(1,10))</f>
        <v/>
      </c>
      <c r="M638" s="20" t="str">
        <f>IF(A638="","",IF(L638&lt;8,"calibracion","validacion"))</f>
        <v/>
      </c>
      <c r="N638" s="20" t="s">
        <v>826</v>
      </c>
    </row>
    <row r="639" spans="12:14" hidden="1" x14ac:dyDescent="0.25">
      <c r="L639" s="20" t="str">
        <f ca="1">IF(A639="","",RANDBETWEEN(1,10))</f>
        <v/>
      </c>
      <c r="M639" s="20" t="str">
        <f>IF(A639="","",IF(L639&lt;8,"calibracion","validacion"))</f>
        <v/>
      </c>
      <c r="N639" s="20" t="s">
        <v>826</v>
      </c>
    </row>
    <row r="640" spans="12:14" hidden="1" x14ac:dyDescent="0.25">
      <c r="L640" s="20" t="str">
        <f ca="1">IF(A640="","",RANDBETWEEN(1,10))</f>
        <v/>
      </c>
      <c r="M640" s="20" t="str">
        <f>IF(A640="","",IF(L640&lt;8,"calibracion","validacion"))</f>
        <v/>
      </c>
      <c r="N640" s="20" t="s">
        <v>826</v>
      </c>
    </row>
    <row r="641" spans="12:14" hidden="1" x14ac:dyDescent="0.25">
      <c r="L641" s="20" t="str">
        <f ca="1">IF(A641="","",RANDBETWEEN(1,10))</f>
        <v/>
      </c>
      <c r="M641" s="20" t="str">
        <f>IF(A641="","",IF(L641&lt;8,"calibracion","validacion"))</f>
        <v/>
      </c>
      <c r="N641" s="20" t="s">
        <v>826</v>
      </c>
    </row>
    <row r="642" spans="12:14" hidden="1" x14ac:dyDescent="0.25">
      <c r="L642" s="20" t="str">
        <f ca="1">IF(A642="","",RANDBETWEEN(1,10))</f>
        <v/>
      </c>
      <c r="M642" s="20" t="str">
        <f>IF(A642="","",IF(L642&lt;8,"calibracion","validacion"))</f>
        <v/>
      </c>
      <c r="N642" s="20" t="s">
        <v>826</v>
      </c>
    </row>
    <row r="643" spans="12:14" hidden="1" x14ac:dyDescent="0.25">
      <c r="L643" s="20" t="str">
        <f ca="1">IF(A643="","",RANDBETWEEN(1,10))</f>
        <v/>
      </c>
      <c r="M643" s="20" t="str">
        <f>IF(A643="","",IF(L643&lt;8,"calibracion","validacion"))</f>
        <v/>
      </c>
      <c r="N643" s="20" t="s">
        <v>826</v>
      </c>
    </row>
    <row r="644" spans="12:14" hidden="1" x14ac:dyDescent="0.25">
      <c r="L644" s="20" t="str">
        <f ca="1">IF(A644="","",RANDBETWEEN(1,10))</f>
        <v/>
      </c>
      <c r="M644" s="20" t="str">
        <f>IF(A644="","",IF(L644&lt;8,"calibracion","validacion"))</f>
        <v/>
      </c>
      <c r="N644" s="20" t="s">
        <v>826</v>
      </c>
    </row>
    <row r="645" spans="12:14" hidden="1" x14ac:dyDescent="0.25">
      <c r="L645" s="20" t="str">
        <f ca="1">IF(A645="","",RANDBETWEEN(1,10))</f>
        <v/>
      </c>
      <c r="M645" s="20" t="str">
        <f>IF(A645="","",IF(L645&lt;8,"calibracion","validacion"))</f>
        <v/>
      </c>
      <c r="N645" s="20" t="s">
        <v>826</v>
      </c>
    </row>
    <row r="646" spans="12:14" hidden="1" x14ac:dyDescent="0.25">
      <c r="L646" s="20" t="str">
        <f ca="1">IF(A646="","",RANDBETWEEN(1,10))</f>
        <v/>
      </c>
      <c r="M646" s="20" t="str">
        <f>IF(A646="","",IF(L646&lt;8,"calibracion","validacion"))</f>
        <v/>
      </c>
      <c r="N646" s="20" t="s">
        <v>826</v>
      </c>
    </row>
    <row r="647" spans="12:14" hidden="1" x14ac:dyDescent="0.25">
      <c r="L647" s="20" t="str">
        <f ca="1">IF(A647="","",RANDBETWEEN(1,10))</f>
        <v/>
      </c>
      <c r="M647" s="20" t="str">
        <f>IF(A647="","",IF(L647&lt;8,"calibracion","validacion"))</f>
        <v/>
      </c>
      <c r="N647" s="20" t="s">
        <v>826</v>
      </c>
    </row>
    <row r="648" spans="12:14" hidden="1" x14ac:dyDescent="0.25">
      <c r="L648" s="20" t="str">
        <f ca="1">IF(A648="","",RANDBETWEEN(1,10))</f>
        <v/>
      </c>
      <c r="M648" s="20" t="str">
        <f>IF(A648="","",IF(L648&lt;8,"calibracion","validacion"))</f>
        <v/>
      </c>
      <c r="N648" s="20" t="s">
        <v>826</v>
      </c>
    </row>
    <row r="649" spans="12:14" hidden="1" x14ac:dyDescent="0.25">
      <c r="L649" s="20" t="str">
        <f ca="1">IF(A649="","",RANDBETWEEN(1,10))</f>
        <v/>
      </c>
      <c r="M649" s="20" t="str">
        <f>IF(A649="","",IF(L649&lt;8,"calibracion","validacion"))</f>
        <v/>
      </c>
      <c r="N649" s="20" t="s">
        <v>826</v>
      </c>
    </row>
    <row r="650" spans="12:14" hidden="1" x14ac:dyDescent="0.25">
      <c r="L650" s="20" t="str">
        <f ca="1">IF(A650="","",RANDBETWEEN(1,10))</f>
        <v/>
      </c>
      <c r="M650" s="20" t="str">
        <f>IF(A650="","",IF(L650&lt;8,"calibracion","validacion"))</f>
        <v/>
      </c>
      <c r="N650" s="20" t="s">
        <v>826</v>
      </c>
    </row>
    <row r="651" spans="12:14" hidden="1" x14ac:dyDescent="0.25">
      <c r="L651" s="20" t="str">
        <f ca="1">IF(A651="","",RANDBETWEEN(1,10))</f>
        <v/>
      </c>
      <c r="M651" s="20" t="str">
        <f>IF(A651="","",IF(L651&lt;8,"calibracion","validacion"))</f>
        <v/>
      </c>
      <c r="N651" s="20" t="s">
        <v>826</v>
      </c>
    </row>
    <row r="652" spans="12:14" hidden="1" x14ac:dyDescent="0.25">
      <c r="L652" s="20" t="str">
        <f ca="1">IF(A652="","",RANDBETWEEN(1,10))</f>
        <v/>
      </c>
      <c r="M652" s="20" t="str">
        <f>IF(A652="","",IF(L652&lt;8,"calibracion","validacion"))</f>
        <v/>
      </c>
      <c r="N652" s="20" t="s">
        <v>826</v>
      </c>
    </row>
    <row r="653" spans="12:14" hidden="1" x14ac:dyDescent="0.25">
      <c r="L653" s="20" t="str">
        <f ca="1">IF(A653="","",RANDBETWEEN(1,10))</f>
        <v/>
      </c>
      <c r="M653" s="20" t="str">
        <f>IF(A653="","",IF(L653&lt;8,"calibracion","validacion"))</f>
        <v/>
      </c>
      <c r="N653" s="20" t="s">
        <v>826</v>
      </c>
    </row>
    <row r="654" spans="12:14" hidden="1" x14ac:dyDescent="0.25">
      <c r="L654" s="20" t="str">
        <f ca="1">IF(A654="","",RANDBETWEEN(1,10))</f>
        <v/>
      </c>
      <c r="M654" s="20" t="str">
        <f>IF(A654="","",IF(L654&lt;8,"calibracion","validacion"))</f>
        <v/>
      </c>
      <c r="N654" s="20" t="s">
        <v>826</v>
      </c>
    </row>
    <row r="655" spans="12:14" hidden="1" x14ac:dyDescent="0.25">
      <c r="L655" s="20" t="str">
        <f ca="1">IF(A655="","",RANDBETWEEN(1,10))</f>
        <v/>
      </c>
      <c r="M655" s="20" t="str">
        <f>IF(A655="","",IF(L655&lt;8,"calibracion","validacion"))</f>
        <v/>
      </c>
      <c r="N655" s="20" t="s">
        <v>826</v>
      </c>
    </row>
    <row r="656" spans="12:14" hidden="1" x14ac:dyDescent="0.25">
      <c r="L656" s="20" t="str">
        <f ca="1">IF(A656="","",RANDBETWEEN(1,10))</f>
        <v/>
      </c>
      <c r="M656" s="20" t="str">
        <f>IF(A656="","",IF(L656&lt;8,"calibracion","validacion"))</f>
        <v/>
      </c>
      <c r="N656" s="20" t="s">
        <v>826</v>
      </c>
    </row>
    <row r="657" spans="12:14" hidden="1" x14ac:dyDescent="0.25">
      <c r="L657" s="20" t="str">
        <f ca="1">IF(A657="","",RANDBETWEEN(1,10))</f>
        <v/>
      </c>
      <c r="M657" s="20" t="str">
        <f>IF(A657="","",IF(L657&lt;8,"calibracion","validacion"))</f>
        <v/>
      </c>
      <c r="N657" s="20" t="s">
        <v>826</v>
      </c>
    </row>
    <row r="658" spans="12:14" hidden="1" x14ac:dyDescent="0.25">
      <c r="L658" s="20" t="str">
        <f ca="1">IF(A658="","",RANDBETWEEN(1,10))</f>
        <v/>
      </c>
      <c r="M658" s="20" t="str">
        <f>IF(A658="","",IF(L658&lt;8,"calibracion","validacion"))</f>
        <v/>
      </c>
      <c r="N658" s="20" t="s">
        <v>826</v>
      </c>
    </row>
    <row r="659" spans="12:14" hidden="1" x14ac:dyDescent="0.25">
      <c r="L659" s="20" t="str">
        <f ca="1">IF(A659="","",RANDBETWEEN(1,10))</f>
        <v/>
      </c>
      <c r="M659" s="20" t="str">
        <f>IF(A659="","",IF(L659&lt;8,"calibracion","validacion"))</f>
        <v/>
      </c>
      <c r="N659" s="20" t="s">
        <v>826</v>
      </c>
    </row>
    <row r="660" spans="12:14" hidden="1" x14ac:dyDescent="0.25">
      <c r="L660" s="20" t="str">
        <f ca="1">IF(A660="","",RANDBETWEEN(1,10))</f>
        <v/>
      </c>
      <c r="M660" s="20" t="str">
        <f>IF(A660="","",IF(L660&lt;8,"calibracion","validacion"))</f>
        <v/>
      </c>
      <c r="N660" s="20" t="s">
        <v>826</v>
      </c>
    </row>
    <row r="661" spans="12:14" hidden="1" x14ac:dyDescent="0.25">
      <c r="L661" s="20" t="str">
        <f ca="1">IF(A661="","",RANDBETWEEN(1,10))</f>
        <v/>
      </c>
      <c r="M661" s="20" t="str">
        <f>IF(A661="","",IF(L661&lt;8,"calibracion","validacion"))</f>
        <v/>
      </c>
      <c r="N661" s="20" t="s">
        <v>826</v>
      </c>
    </row>
    <row r="662" spans="12:14" hidden="1" x14ac:dyDescent="0.25">
      <c r="L662" s="20" t="str">
        <f ca="1">IF(A662="","",RANDBETWEEN(1,10))</f>
        <v/>
      </c>
      <c r="M662" s="20" t="str">
        <f>IF(A662="","",IF(L662&lt;8,"calibracion","validacion"))</f>
        <v/>
      </c>
      <c r="N662" s="20" t="s">
        <v>826</v>
      </c>
    </row>
    <row r="663" spans="12:14" hidden="1" x14ac:dyDescent="0.25">
      <c r="L663" s="20" t="str">
        <f ca="1">IF(A663="","",RANDBETWEEN(1,10))</f>
        <v/>
      </c>
      <c r="M663" s="20" t="str">
        <f>IF(A663="","",IF(L663&lt;8,"calibracion","validacion"))</f>
        <v/>
      </c>
      <c r="N663" s="20" t="s">
        <v>826</v>
      </c>
    </row>
    <row r="664" spans="12:14" hidden="1" x14ac:dyDescent="0.25">
      <c r="L664" s="20" t="str">
        <f ca="1">IF(A664="","",RANDBETWEEN(1,10))</f>
        <v/>
      </c>
      <c r="M664" s="20" t="str">
        <f>IF(A664="","",IF(L664&lt;8,"calibracion","validacion"))</f>
        <v/>
      </c>
      <c r="N664" s="20" t="s">
        <v>826</v>
      </c>
    </row>
    <row r="665" spans="12:14" hidden="1" x14ac:dyDescent="0.25">
      <c r="L665" s="20" t="str">
        <f ca="1">IF(A665="","",RANDBETWEEN(1,10))</f>
        <v/>
      </c>
      <c r="M665" s="20" t="str">
        <f>IF(A665="","",IF(L665&lt;8,"calibracion","validacion"))</f>
        <v/>
      </c>
      <c r="N665" s="20" t="s">
        <v>826</v>
      </c>
    </row>
    <row r="666" spans="12:14" hidden="1" x14ac:dyDescent="0.25">
      <c r="L666" s="20" t="str">
        <f ca="1">IF(A666="","",RANDBETWEEN(1,10))</f>
        <v/>
      </c>
      <c r="M666" s="20" t="str">
        <f>IF(A666="","",IF(L666&lt;8,"calibracion","validacion"))</f>
        <v/>
      </c>
      <c r="N666" s="20" t="s">
        <v>826</v>
      </c>
    </row>
    <row r="667" spans="12:14" hidden="1" x14ac:dyDescent="0.25">
      <c r="L667" s="20" t="str">
        <f ca="1">IF(A667="","",RANDBETWEEN(1,10))</f>
        <v/>
      </c>
      <c r="M667" s="20" t="str">
        <f>IF(A667="","",IF(L667&lt;8,"calibracion","validacion"))</f>
        <v/>
      </c>
      <c r="N667" s="20" t="s">
        <v>826</v>
      </c>
    </row>
    <row r="668" spans="12:14" hidden="1" x14ac:dyDescent="0.25">
      <c r="L668" s="20" t="str">
        <f ca="1">IF(A668="","",RANDBETWEEN(1,10))</f>
        <v/>
      </c>
      <c r="M668" s="20" t="str">
        <f>IF(A668="","",IF(L668&lt;8,"calibracion","validacion"))</f>
        <v/>
      </c>
      <c r="N668" s="20" t="s">
        <v>826</v>
      </c>
    </row>
    <row r="669" spans="12:14" hidden="1" x14ac:dyDescent="0.25">
      <c r="L669" s="20" t="str">
        <f ca="1">IF(A669="","",RANDBETWEEN(1,10))</f>
        <v/>
      </c>
      <c r="M669" s="20" t="str">
        <f>IF(A669="","",IF(L669&lt;8,"calibracion","validacion"))</f>
        <v/>
      </c>
      <c r="N669" s="20" t="s">
        <v>826</v>
      </c>
    </row>
    <row r="670" spans="12:14" hidden="1" x14ac:dyDescent="0.25">
      <c r="L670" s="20" t="str">
        <f ca="1">IF(A670="","",RANDBETWEEN(1,10))</f>
        <v/>
      </c>
      <c r="M670" s="20" t="str">
        <f>IF(A670="","",IF(L670&lt;8,"calibracion","validacion"))</f>
        <v/>
      </c>
      <c r="N670" s="20" t="s">
        <v>826</v>
      </c>
    </row>
    <row r="671" spans="12:14" hidden="1" x14ac:dyDescent="0.25">
      <c r="L671" s="20" t="str">
        <f ca="1">IF(A671="","",RANDBETWEEN(1,10))</f>
        <v/>
      </c>
      <c r="M671" s="20" t="str">
        <f>IF(A671="","",IF(L671&lt;8,"calibracion","validacion"))</f>
        <v/>
      </c>
      <c r="N671" s="20" t="s">
        <v>826</v>
      </c>
    </row>
    <row r="672" spans="12:14" hidden="1" x14ac:dyDescent="0.25">
      <c r="L672" s="20" t="str">
        <f ca="1">IF(A672="","",RANDBETWEEN(1,10))</f>
        <v/>
      </c>
      <c r="M672" s="20" t="str">
        <f>IF(A672="","",IF(L672&lt;8,"calibracion","validacion"))</f>
        <v/>
      </c>
      <c r="N672" s="20" t="s">
        <v>826</v>
      </c>
    </row>
    <row r="673" spans="12:14" hidden="1" x14ac:dyDescent="0.25">
      <c r="L673" s="20" t="str">
        <f ca="1">IF(A673="","",RANDBETWEEN(1,10))</f>
        <v/>
      </c>
      <c r="M673" s="20" t="str">
        <f>IF(A673="","",IF(L673&lt;8,"calibracion","validacion"))</f>
        <v/>
      </c>
      <c r="N673" s="20" t="s">
        <v>826</v>
      </c>
    </row>
    <row r="674" spans="12:14" hidden="1" x14ac:dyDescent="0.25">
      <c r="L674" s="20" t="str">
        <f ca="1">IF(A674="","",RANDBETWEEN(1,10))</f>
        <v/>
      </c>
      <c r="M674" s="20" t="str">
        <f>IF(A674="","",IF(L674&lt;8,"calibracion","validacion"))</f>
        <v/>
      </c>
      <c r="N674" s="20" t="s">
        <v>826</v>
      </c>
    </row>
    <row r="675" spans="12:14" hidden="1" x14ac:dyDescent="0.25">
      <c r="L675" s="20" t="str">
        <f ca="1">IF(A675="","",RANDBETWEEN(1,10))</f>
        <v/>
      </c>
      <c r="M675" s="20" t="str">
        <f>IF(A675="","",IF(L675&lt;8,"calibracion","validacion"))</f>
        <v/>
      </c>
      <c r="N675" s="20" t="s">
        <v>826</v>
      </c>
    </row>
    <row r="676" spans="12:14" hidden="1" x14ac:dyDescent="0.25">
      <c r="L676" s="20" t="str">
        <f ca="1">IF(A676="","",RANDBETWEEN(1,10))</f>
        <v/>
      </c>
      <c r="M676" s="20" t="str">
        <f>IF(A676="","",IF(L676&lt;8,"calibracion","validacion"))</f>
        <v/>
      </c>
      <c r="N676" s="20" t="s">
        <v>826</v>
      </c>
    </row>
    <row r="677" spans="12:14" hidden="1" x14ac:dyDescent="0.25">
      <c r="L677" s="20" t="str">
        <f ca="1">IF(A677="","",RANDBETWEEN(1,10))</f>
        <v/>
      </c>
      <c r="M677" s="20" t="str">
        <f>IF(A677="","",IF(L677&lt;8,"calibracion","validacion"))</f>
        <v/>
      </c>
      <c r="N677" s="20" t="s">
        <v>826</v>
      </c>
    </row>
    <row r="678" spans="12:14" hidden="1" x14ac:dyDescent="0.25">
      <c r="L678" s="20" t="str">
        <f ca="1">IF(A678="","",RANDBETWEEN(1,10))</f>
        <v/>
      </c>
      <c r="M678" s="20" t="str">
        <f>IF(A678="","",IF(L678&lt;8,"calibracion","validacion"))</f>
        <v/>
      </c>
      <c r="N678" s="20" t="s">
        <v>826</v>
      </c>
    </row>
    <row r="679" spans="12:14" hidden="1" x14ac:dyDescent="0.25">
      <c r="L679" s="20" t="str">
        <f ca="1">IF(A679="","",RANDBETWEEN(1,10))</f>
        <v/>
      </c>
      <c r="M679" s="20" t="str">
        <f>IF(A679="","",IF(L679&lt;8,"calibracion","validacion"))</f>
        <v/>
      </c>
      <c r="N679" s="20" t="s">
        <v>826</v>
      </c>
    </row>
    <row r="680" spans="12:14" hidden="1" x14ac:dyDescent="0.25">
      <c r="L680" s="20" t="str">
        <f ca="1">IF(A680="","",RANDBETWEEN(1,10))</f>
        <v/>
      </c>
      <c r="M680" s="20" t="str">
        <f>IF(A680="","",IF(L680&lt;8,"calibracion","validacion"))</f>
        <v/>
      </c>
      <c r="N680" s="20" t="s">
        <v>826</v>
      </c>
    </row>
    <row r="681" spans="12:14" hidden="1" x14ac:dyDescent="0.25">
      <c r="L681" s="20" t="str">
        <f ca="1">IF(A681="","",RANDBETWEEN(1,10))</f>
        <v/>
      </c>
      <c r="M681" s="20" t="str">
        <f>IF(A681="","",IF(L681&lt;8,"calibracion","validacion"))</f>
        <v/>
      </c>
      <c r="N681" s="20" t="s">
        <v>826</v>
      </c>
    </row>
    <row r="682" spans="12:14" hidden="1" x14ac:dyDescent="0.25">
      <c r="L682" s="20" t="str">
        <f ca="1">IF(A682="","",RANDBETWEEN(1,10))</f>
        <v/>
      </c>
      <c r="M682" s="20" t="str">
        <f>IF(A682="","",IF(L682&lt;8,"calibracion","validacion"))</f>
        <v/>
      </c>
      <c r="N682" s="20" t="s">
        <v>826</v>
      </c>
    </row>
    <row r="683" spans="12:14" hidden="1" x14ac:dyDescent="0.25">
      <c r="L683" s="20" t="str">
        <f ca="1">IF(A683="","",RANDBETWEEN(1,10))</f>
        <v/>
      </c>
      <c r="M683" s="20" t="str">
        <f>IF(A683="","",IF(L683&lt;8,"calibracion","validacion"))</f>
        <v/>
      </c>
      <c r="N683" s="20" t="s">
        <v>826</v>
      </c>
    </row>
    <row r="684" spans="12:14" hidden="1" x14ac:dyDescent="0.25">
      <c r="L684" s="20" t="str">
        <f ca="1">IF(A684="","",RANDBETWEEN(1,10))</f>
        <v/>
      </c>
      <c r="M684" s="20" t="str">
        <f>IF(A684="","",IF(L684&lt;8,"calibracion","validacion"))</f>
        <v/>
      </c>
      <c r="N684" s="20" t="s">
        <v>826</v>
      </c>
    </row>
    <row r="685" spans="12:14" hidden="1" x14ac:dyDescent="0.25">
      <c r="L685" s="20" t="str">
        <f ca="1">IF(A685="","",RANDBETWEEN(1,10))</f>
        <v/>
      </c>
      <c r="M685" s="20" t="str">
        <f>IF(A685="","",IF(L685&lt;8,"calibracion","validacion"))</f>
        <v/>
      </c>
      <c r="N685" s="20" t="s">
        <v>826</v>
      </c>
    </row>
    <row r="686" spans="12:14" hidden="1" x14ac:dyDescent="0.25">
      <c r="L686" s="20" t="str">
        <f ca="1">IF(A686="","",RANDBETWEEN(1,10))</f>
        <v/>
      </c>
      <c r="M686" s="20" t="str">
        <f>IF(A686="","",IF(L686&lt;8,"calibracion","validacion"))</f>
        <v/>
      </c>
      <c r="N686" s="20" t="s">
        <v>826</v>
      </c>
    </row>
    <row r="687" spans="12:14" hidden="1" x14ac:dyDescent="0.25">
      <c r="L687" s="20" t="str">
        <f ca="1">IF(A687="","",RANDBETWEEN(1,10))</f>
        <v/>
      </c>
      <c r="M687" s="20" t="str">
        <f>IF(A687="","",IF(L687&lt;8,"calibracion","validacion"))</f>
        <v/>
      </c>
      <c r="N687" s="20" t="s">
        <v>826</v>
      </c>
    </row>
    <row r="688" spans="12:14" hidden="1" x14ac:dyDescent="0.25">
      <c r="L688" s="20" t="str">
        <f ca="1">IF(A688="","",RANDBETWEEN(1,10))</f>
        <v/>
      </c>
      <c r="M688" s="20" t="str">
        <f>IF(A688="","",IF(L688&lt;8,"calibracion","validacion"))</f>
        <v/>
      </c>
      <c r="N688" s="20" t="s">
        <v>826</v>
      </c>
    </row>
    <row r="689" spans="12:14" hidden="1" x14ac:dyDescent="0.25">
      <c r="L689" s="20" t="str">
        <f ca="1">IF(A689="","",RANDBETWEEN(1,10))</f>
        <v/>
      </c>
      <c r="M689" s="20" t="str">
        <f>IF(A689="","",IF(L689&lt;8,"calibracion","validacion"))</f>
        <v/>
      </c>
      <c r="N689" s="20" t="s">
        <v>826</v>
      </c>
    </row>
    <row r="690" spans="12:14" hidden="1" x14ac:dyDescent="0.25">
      <c r="L690" s="20" t="str">
        <f ca="1">IF(A690="","",RANDBETWEEN(1,10))</f>
        <v/>
      </c>
      <c r="M690" s="20" t="str">
        <f>IF(A690="","",IF(L690&lt;8,"calibracion","validacion"))</f>
        <v/>
      </c>
      <c r="N690" s="20" t="s">
        <v>826</v>
      </c>
    </row>
    <row r="691" spans="12:14" hidden="1" x14ac:dyDescent="0.25">
      <c r="L691" s="20" t="str">
        <f ca="1">IF(A691="","",RANDBETWEEN(1,10))</f>
        <v/>
      </c>
      <c r="M691" s="20" t="str">
        <f>IF(A691="","",IF(L691&lt;8,"calibracion","validacion"))</f>
        <v/>
      </c>
      <c r="N691" s="20" t="s">
        <v>826</v>
      </c>
    </row>
    <row r="692" spans="12:14" hidden="1" x14ac:dyDescent="0.25">
      <c r="L692" s="20" t="str">
        <f ca="1">IF(A692="","",RANDBETWEEN(1,10))</f>
        <v/>
      </c>
      <c r="M692" s="20" t="str">
        <f>IF(A692="","",IF(L692&lt;8,"calibracion","validacion"))</f>
        <v/>
      </c>
      <c r="N692" s="20" t="s">
        <v>826</v>
      </c>
    </row>
    <row r="693" spans="12:14" hidden="1" x14ac:dyDescent="0.25">
      <c r="L693" s="20" t="str">
        <f ca="1">IF(A693="","",RANDBETWEEN(1,10))</f>
        <v/>
      </c>
      <c r="M693" s="20" t="str">
        <f>IF(A693="","",IF(L693&lt;8,"calibracion","validacion"))</f>
        <v/>
      </c>
      <c r="N693" s="20" t="s">
        <v>826</v>
      </c>
    </row>
    <row r="694" spans="12:14" hidden="1" x14ac:dyDescent="0.25">
      <c r="L694" s="20" t="str">
        <f ca="1">IF(A694="","",RANDBETWEEN(1,10))</f>
        <v/>
      </c>
      <c r="M694" s="20" t="str">
        <f>IF(A694="","",IF(L694&lt;8,"calibracion","validacion"))</f>
        <v/>
      </c>
      <c r="N694" s="20" t="s">
        <v>826</v>
      </c>
    </row>
    <row r="695" spans="12:14" hidden="1" x14ac:dyDescent="0.25">
      <c r="L695" s="20" t="str">
        <f ca="1">IF(A695="","",RANDBETWEEN(1,10))</f>
        <v/>
      </c>
      <c r="M695" s="20" t="str">
        <f>IF(A695="","",IF(L695&lt;8,"calibracion","validacion"))</f>
        <v/>
      </c>
      <c r="N695" s="20" t="s">
        <v>826</v>
      </c>
    </row>
    <row r="696" spans="12:14" hidden="1" x14ac:dyDescent="0.25">
      <c r="L696" s="20" t="str">
        <f ca="1">IF(A696="","",RANDBETWEEN(1,10))</f>
        <v/>
      </c>
      <c r="M696" s="20" t="str">
        <f>IF(A696="","",IF(L696&lt;8,"calibracion","validacion"))</f>
        <v/>
      </c>
      <c r="N696" s="20" t="s">
        <v>826</v>
      </c>
    </row>
    <row r="697" spans="12:14" hidden="1" x14ac:dyDescent="0.25">
      <c r="L697" s="20" t="str">
        <f ca="1">IF(A697="","",RANDBETWEEN(1,10))</f>
        <v/>
      </c>
      <c r="M697" s="20" t="str">
        <f>IF(A697="","",IF(L697&lt;8,"calibracion","validacion"))</f>
        <v/>
      </c>
      <c r="N697" s="20" t="s">
        <v>826</v>
      </c>
    </row>
    <row r="698" spans="12:14" hidden="1" x14ac:dyDescent="0.25">
      <c r="L698" s="20" t="str">
        <f ca="1">IF(A698="","",RANDBETWEEN(1,10))</f>
        <v/>
      </c>
      <c r="M698" s="20" t="str">
        <f>IF(A698="","",IF(L698&lt;8,"calibracion","validacion"))</f>
        <v/>
      </c>
      <c r="N698" s="20" t="s">
        <v>826</v>
      </c>
    </row>
    <row r="699" spans="12:14" hidden="1" x14ac:dyDescent="0.25">
      <c r="L699" s="20" t="str">
        <f ca="1">IF(A699="","",RANDBETWEEN(1,10))</f>
        <v/>
      </c>
      <c r="M699" s="20" t="str">
        <f>IF(A699="","",IF(L699&lt;8,"calibracion","validacion"))</f>
        <v/>
      </c>
      <c r="N699" s="20" t="s">
        <v>826</v>
      </c>
    </row>
    <row r="700" spans="12:14" hidden="1" x14ac:dyDescent="0.25">
      <c r="L700" s="20" t="str">
        <f ca="1">IF(A700="","",RANDBETWEEN(1,10))</f>
        <v/>
      </c>
      <c r="M700" s="20" t="str">
        <f>IF(A700="","",IF(L700&lt;8,"calibracion","validacion"))</f>
        <v/>
      </c>
      <c r="N700" s="20" t="s">
        <v>826</v>
      </c>
    </row>
    <row r="701" spans="12:14" hidden="1" x14ac:dyDescent="0.25">
      <c r="L701" s="20" t="str">
        <f ca="1">IF(A701="","",RANDBETWEEN(1,10))</f>
        <v/>
      </c>
      <c r="M701" s="20" t="str">
        <f>IF(A701="","",IF(L701&lt;8,"calibracion","validacion"))</f>
        <v/>
      </c>
      <c r="N701" s="20" t="s">
        <v>826</v>
      </c>
    </row>
    <row r="702" spans="12:14" hidden="1" x14ac:dyDescent="0.25">
      <c r="L702" s="20" t="str">
        <f ca="1">IF(A702="","",RANDBETWEEN(1,10))</f>
        <v/>
      </c>
      <c r="M702" s="20" t="str">
        <f>IF(A702="","",IF(L702&lt;8,"calibracion","validacion"))</f>
        <v/>
      </c>
      <c r="N702" s="20" t="s">
        <v>826</v>
      </c>
    </row>
    <row r="703" spans="12:14" hidden="1" x14ac:dyDescent="0.25">
      <c r="L703" s="20" t="str">
        <f ca="1">IF(A703="","",RANDBETWEEN(1,10))</f>
        <v/>
      </c>
      <c r="M703" s="20" t="str">
        <f>IF(A703="","",IF(L703&lt;8,"calibracion","validacion"))</f>
        <v/>
      </c>
      <c r="N703" s="20" t="s">
        <v>826</v>
      </c>
    </row>
    <row r="704" spans="12:14" hidden="1" x14ac:dyDescent="0.25">
      <c r="L704" s="20" t="str">
        <f ca="1">IF(A704="","",RANDBETWEEN(1,10))</f>
        <v/>
      </c>
      <c r="M704" s="20" t="str">
        <f>IF(A704="","",IF(L704&lt;8,"calibracion","validacion"))</f>
        <v/>
      </c>
      <c r="N704" s="20" t="s">
        <v>826</v>
      </c>
    </row>
    <row r="705" spans="12:14" hidden="1" x14ac:dyDescent="0.25">
      <c r="L705" s="20" t="str">
        <f ca="1">IF(A705="","",RANDBETWEEN(1,10))</f>
        <v/>
      </c>
      <c r="M705" s="20" t="str">
        <f>IF(A705="","",IF(L705&lt;8,"calibracion","validacion"))</f>
        <v/>
      </c>
      <c r="N705" s="20" t="s">
        <v>826</v>
      </c>
    </row>
    <row r="706" spans="12:14" hidden="1" x14ac:dyDescent="0.25">
      <c r="L706" s="20" t="str">
        <f ca="1">IF(A706="","",RANDBETWEEN(1,10))</f>
        <v/>
      </c>
      <c r="M706" s="20" t="str">
        <f>IF(A706="","",IF(L706&lt;8,"calibracion","validacion"))</f>
        <v/>
      </c>
      <c r="N706" s="20" t="s">
        <v>826</v>
      </c>
    </row>
    <row r="707" spans="12:14" hidden="1" x14ac:dyDescent="0.25">
      <c r="L707" s="20" t="str">
        <f ca="1">IF(A707="","",RANDBETWEEN(1,10))</f>
        <v/>
      </c>
      <c r="M707" s="20" t="str">
        <f>IF(A707="","",IF(L707&lt;8,"calibracion","validacion"))</f>
        <v/>
      </c>
      <c r="N707" s="20" t="s">
        <v>826</v>
      </c>
    </row>
    <row r="708" spans="12:14" hidden="1" x14ac:dyDescent="0.25">
      <c r="L708" s="20" t="str">
        <f ca="1">IF(A708="","",RANDBETWEEN(1,10))</f>
        <v/>
      </c>
      <c r="M708" s="20" t="str">
        <f>IF(A708="","",IF(L708&lt;8,"calibracion","validacion"))</f>
        <v/>
      </c>
      <c r="N708" s="20" t="s">
        <v>826</v>
      </c>
    </row>
    <row r="709" spans="12:14" hidden="1" x14ac:dyDescent="0.25">
      <c r="L709" s="20" t="str">
        <f ca="1">IF(A709="","",RANDBETWEEN(1,10))</f>
        <v/>
      </c>
      <c r="M709" s="20" t="str">
        <f>IF(A709="","",IF(L709&lt;8,"calibracion","validacion"))</f>
        <v/>
      </c>
      <c r="N709" s="20" t="s">
        <v>826</v>
      </c>
    </row>
    <row r="710" spans="12:14" hidden="1" x14ac:dyDescent="0.25">
      <c r="L710" s="20" t="str">
        <f ca="1">IF(A710="","",RANDBETWEEN(1,10))</f>
        <v/>
      </c>
      <c r="M710" s="20" t="str">
        <f>IF(A710="","",IF(L710&lt;8,"calibracion","validacion"))</f>
        <v/>
      </c>
      <c r="N710" s="20" t="s">
        <v>826</v>
      </c>
    </row>
    <row r="711" spans="12:14" hidden="1" x14ac:dyDescent="0.25">
      <c r="L711" s="20" t="str">
        <f ca="1">IF(A711="","",RANDBETWEEN(1,10))</f>
        <v/>
      </c>
      <c r="M711" s="20" t="str">
        <f>IF(A711="","",IF(L711&lt;8,"calibracion","validacion"))</f>
        <v/>
      </c>
      <c r="N711" s="20" t="s">
        <v>826</v>
      </c>
    </row>
    <row r="712" spans="12:14" hidden="1" x14ac:dyDescent="0.25">
      <c r="L712" s="20" t="str">
        <f ca="1">IF(A712="","",RANDBETWEEN(1,10))</f>
        <v/>
      </c>
      <c r="M712" s="20" t="str">
        <f>IF(A712="","",IF(L712&lt;8,"calibracion","validacion"))</f>
        <v/>
      </c>
      <c r="N712" s="20" t="s">
        <v>826</v>
      </c>
    </row>
    <row r="713" spans="12:14" hidden="1" x14ac:dyDescent="0.25">
      <c r="L713" s="20" t="str">
        <f ca="1">IF(A713="","",RANDBETWEEN(1,10))</f>
        <v/>
      </c>
      <c r="M713" s="20" t="str">
        <f>IF(A713="","",IF(L713&lt;8,"calibracion","validacion"))</f>
        <v/>
      </c>
      <c r="N713" s="20" t="s">
        <v>826</v>
      </c>
    </row>
    <row r="714" spans="12:14" hidden="1" x14ac:dyDescent="0.25">
      <c r="L714" s="20" t="str">
        <f ca="1">IF(A714="","",RANDBETWEEN(1,10))</f>
        <v/>
      </c>
      <c r="M714" s="20" t="str">
        <f>IF(A714="","",IF(L714&lt;8,"calibracion","validacion"))</f>
        <v/>
      </c>
      <c r="N714" s="20" t="s">
        <v>826</v>
      </c>
    </row>
    <row r="715" spans="12:14" hidden="1" x14ac:dyDescent="0.25">
      <c r="L715" s="20" t="str">
        <f ca="1">IF(A715="","",RANDBETWEEN(1,10))</f>
        <v/>
      </c>
      <c r="M715" s="20" t="str">
        <f>IF(A715="","",IF(L715&lt;8,"calibracion","validacion"))</f>
        <v/>
      </c>
      <c r="N715" s="20" t="s">
        <v>826</v>
      </c>
    </row>
    <row r="716" spans="12:14" hidden="1" x14ac:dyDescent="0.25">
      <c r="L716" s="20" t="str">
        <f ca="1">IF(A716="","",RANDBETWEEN(1,10))</f>
        <v/>
      </c>
      <c r="M716" s="20" t="str">
        <f>IF(A716="","",IF(L716&lt;8,"calibracion","validacion"))</f>
        <v/>
      </c>
      <c r="N716" s="20" t="s">
        <v>826</v>
      </c>
    </row>
    <row r="717" spans="12:14" hidden="1" x14ac:dyDescent="0.25">
      <c r="L717" s="20" t="str">
        <f ca="1">IF(A717="","",RANDBETWEEN(1,10))</f>
        <v/>
      </c>
      <c r="M717" s="20" t="str">
        <f>IF(A717="","",IF(L717&lt;8,"calibracion","validacion"))</f>
        <v/>
      </c>
      <c r="N717" s="20" t="s">
        <v>826</v>
      </c>
    </row>
    <row r="718" spans="12:14" hidden="1" x14ac:dyDescent="0.25">
      <c r="L718" s="20" t="str">
        <f ca="1">IF(A718="","",RANDBETWEEN(1,10))</f>
        <v/>
      </c>
      <c r="M718" s="20" t="str">
        <f>IF(A718="","",IF(L718&lt;8,"calibracion","validacion"))</f>
        <v/>
      </c>
      <c r="N718" s="20" t="s">
        <v>826</v>
      </c>
    </row>
    <row r="719" spans="12:14" hidden="1" x14ac:dyDescent="0.25">
      <c r="L719" s="20" t="str">
        <f ca="1">IF(A719="","",RANDBETWEEN(1,10))</f>
        <v/>
      </c>
      <c r="M719" s="20" t="str">
        <f>IF(A719="","",IF(L719&lt;8,"calibracion","validacion"))</f>
        <v/>
      </c>
      <c r="N719" s="20" t="s">
        <v>826</v>
      </c>
    </row>
    <row r="720" spans="12:14" hidden="1" x14ac:dyDescent="0.25">
      <c r="L720" s="20" t="str">
        <f ca="1">IF(A720="","",RANDBETWEEN(1,10))</f>
        <v/>
      </c>
      <c r="M720" s="20" t="str">
        <f>IF(A720="","",IF(L720&lt;8,"calibracion","validacion"))</f>
        <v/>
      </c>
      <c r="N720" s="20" t="s">
        <v>826</v>
      </c>
    </row>
    <row r="721" spans="12:14" hidden="1" x14ac:dyDescent="0.25">
      <c r="L721" s="20" t="str">
        <f ca="1">IF(A721="","",RANDBETWEEN(1,10))</f>
        <v/>
      </c>
      <c r="M721" s="20" t="str">
        <f>IF(A721="","",IF(L721&lt;8,"calibracion","validacion"))</f>
        <v/>
      </c>
      <c r="N721" s="20" t="s">
        <v>826</v>
      </c>
    </row>
    <row r="722" spans="12:14" hidden="1" x14ac:dyDescent="0.25">
      <c r="L722" s="20" t="str">
        <f ca="1">IF(A722="","",RANDBETWEEN(1,10))</f>
        <v/>
      </c>
      <c r="M722" s="20" t="str">
        <f>IF(A722="","",IF(L722&lt;8,"calibracion","validacion"))</f>
        <v/>
      </c>
      <c r="N722" s="20" t="s">
        <v>826</v>
      </c>
    </row>
    <row r="723" spans="12:14" hidden="1" x14ac:dyDescent="0.25">
      <c r="L723" s="20" t="str">
        <f ca="1">IF(A723="","",RANDBETWEEN(1,10))</f>
        <v/>
      </c>
      <c r="M723" s="20" t="str">
        <f>IF(A723="","",IF(L723&lt;8,"calibracion","validacion"))</f>
        <v/>
      </c>
      <c r="N723" s="20" t="s">
        <v>826</v>
      </c>
    </row>
    <row r="724" spans="12:14" hidden="1" x14ac:dyDescent="0.25">
      <c r="L724" s="20" t="str">
        <f ca="1">IF(A724="","",RANDBETWEEN(1,10))</f>
        <v/>
      </c>
      <c r="M724" s="20" t="str">
        <f>IF(A724="","",IF(L724&lt;8,"calibracion","validacion"))</f>
        <v/>
      </c>
      <c r="N724" s="20" t="s">
        <v>826</v>
      </c>
    </row>
    <row r="725" spans="12:14" hidden="1" x14ac:dyDescent="0.25">
      <c r="L725" s="20" t="str">
        <f ca="1">IF(A725="","",RANDBETWEEN(1,10))</f>
        <v/>
      </c>
      <c r="M725" s="20" t="str">
        <f>IF(A725="","",IF(L725&lt;8,"calibracion","validacion"))</f>
        <v/>
      </c>
      <c r="N725" s="20" t="s">
        <v>826</v>
      </c>
    </row>
    <row r="726" spans="12:14" hidden="1" x14ac:dyDescent="0.25">
      <c r="L726" s="20" t="str">
        <f ca="1">IF(A726="","",RANDBETWEEN(1,10))</f>
        <v/>
      </c>
      <c r="M726" s="20" t="str">
        <f>IF(A726="","",IF(L726&lt;8,"calibracion","validacion"))</f>
        <v/>
      </c>
      <c r="N726" s="20" t="s">
        <v>826</v>
      </c>
    </row>
    <row r="727" spans="12:14" hidden="1" x14ac:dyDescent="0.25">
      <c r="L727" s="20" t="str">
        <f ca="1">IF(A727="","",RANDBETWEEN(1,10))</f>
        <v/>
      </c>
      <c r="M727" s="20" t="str">
        <f>IF(A727="","",IF(L727&lt;8,"calibracion","validacion"))</f>
        <v/>
      </c>
      <c r="N727" s="20" t="s">
        <v>826</v>
      </c>
    </row>
    <row r="728" spans="12:14" hidden="1" x14ac:dyDescent="0.25">
      <c r="L728" s="20" t="str">
        <f ca="1">IF(A728="","",RANDBETWEEN(1,10))</f>
        <v/>
      </c>
      <c r="M728" s="20" t="str">
        <f>IF(A728="","",IF(L728&lt;8,"calibracion","validacion"))</f>
        <v/>
      </c>
      <c r="N728" s="20" t="s">
        <v>826</v>
      </c>
    </row>
    <row r="729" spans="12:14" hidden="1" x14ac:dyDescent="0.25">
      <c r="L729" s="20" t="str">
        <f ca="1">IF(A729="","",RANDBETWEEN(1,10))</f>
        <v/>
      </c>
      <c r="M729" s="20" t="str">
        <f>IF(A729="","",IF(L729&lt;8,"calibracion","validacion"))</f>
        <v/>
      </c>
      <c r="N729" s="20" t="s">
        <v>826</v>
      </c>
    </row>
    <row r="730" spans="12:14" hidden="1" x14ac:dyDescent="0.25">
      <c r="L730" s="20" t="str">
        <f ca="1">IF(A730="","",RANDBETWEEN(1,10))</f>
        <v/>
      </c>
      <c r="M730" s="20" t="str">
        <f>IF(A730="","",IF(L730&lt;8,"calibracion","validacion"))</f>
        <v/>
      </c>
      <c r="N730" s="20" t="s">
        <v>826</v>
      </c>
    </row>
    <row r="731" spans="12:14" hidden="1" x14ac:dyDescent="0.25">
      <c r="L731" s="20" t="str">
        <f ca="1">IF(A731="","",RANDBETWEEN(1,10))</f>
        <v/>
      </c>
      <c r="M731" s="20" t="str">
        <f>IF(A731="","",IF(L731&lt;8,"calibracion","validacion"))</f>
        <v/>
      </c>
      <c r="N731" s="20" t="s">
        <v>826</v>
      </c>
    </row>
    <row r="732" spans="12:14" hidden="1" x14ac:dyDescent="0.25">
      <c r="L732" s="20" t="str">
        <f ca="1">IF(A732="","",RANDBETWEEN(1,10))</f>
        <v/>
      </c>
      <c r="M732" s="20" t="str">
        <f>IF(A732="","",IF(L732&lt;8,"calibracion","validacion"))</f>
        <v/>
      </c>
      <c r="N732" s="20" t="s">
        <v>826</v>
      </c>
    </row>
    <row r="733" spans="12:14" hidden="1" x14ac:dyDescent="0.25">
      <c r="L733" s="20" t="str">
        <f ca="1">IF(A733="","",RANDBETWEEN(1,10))</f>
        <v/>
      </c>
      <c r="M733" s="20" t="str">
        <f>IF(A733="","",IF(L733&lt;8,"calibracion","validacion"))</f>
        <v/>
      </c>
      <c r="N733" s="20" t="s">
        <v>826</v>
      </c>
    </row>
    <row r="734" spans="12:14" hidden="1" x14ac:dyDescent="0.25">
      <c r="L734" s="20" t="str">
        <f ca="1">IF(A734="","",RANDBETWEEN(1,10))</f>
        <v/>
      </c>
      <c r="M734" s="20" t="str">
        <f>IF(A734="","",IF(L734&lt;8,"calibracion","validacion"))</f>
        <v/>
      </c>
      <c r="N734" s="20" t="s">
        <v>826</v>
      </c>
    </row>
    <row r="735" spans="12:14" hidden="1" x14ac:dyDescent="0.25">
      <c r="L735" s="20" t="str">
        <f ca="1">IF(A735="","",RANDBETWEEN(1,10))</f>
        <v/>
      </c>
      <c r="M735" s="20" t="str">
        <f>IF(A735="","",IF(L735&lt;8,"calibracion","validacion"))</f>
        <v/>
      </c>
      <c r="N735" s="20" t="s">
        <v>826</v>
      </c>
    </row>
    <row r="736" spans="12:14" hidden="1" x14ac:dyDescent="0.25">
      <c r="L736" s="20" t="str">
        <f ca="1">IF(A736="","",RANDBETWEEN(1,10))</f>
        <v/>
      </c>
      <c r="M736" s="20" t="str">
        <f>IF(A736="","",IF(L736&lt;8,"calibracion","validacion"))</f>
        <v/>
      </c>
      <c r="N736" s="20" t="s">
        <v>826</v>
      </c>
    </row>
    <row r="737" spans="12:14" hidden="1" x14ac:dyDescent="0.25">
      <c r="L737" s="20" t="str">
        <f ca="1">IF(A737="","",RANDBETWEEN(1,10))</f>
        <v/>
      </c>
      <c r="M737" s="20" t="str">
        <f>IF(A737="","",IF(L737&lt;8,"calibracion","validacion"))</f>
        <v/>
      </c>
      <c r="N737" s="20" t="s">
        <v>826</v>
      </c>
    </row>
    <row r="738" spans="12:14" hidden="1" x14ac:dyDescent="0.25">
      <c r="L738" s="20" t="str">
        <f ca="1">IF(A738="","",RANDBETWEEN(1,10))</f>
        <v/>
      </c>
      <c r="M738" s="20" t="str">
        <f>IF(A738="","",IF(L738&lt;8,"calibracion","validacion"))</f>
        <v/>
      </c>
      <c r="N738" s="20" t="s">
        <v>826</v>
      </c>
    </row>
    <row r="739" spans="12:14" hidden="1" x14ac:dyDescent="0.25">
      <c r="L739" s="20" t="str">
        <f ca="1">IF(A739="","",RANDBETWEEN(1,10))</f>
        <v/>
      </c>
      <c r="M739" s="20" t="str">
        <f>IF(A739="","",IF(L739&lt;8,"calibracion","validacion"))</f>
        <v/>
      </c>
      <c r="N739" s="20" t="s">
        <v>826</v>
      </c>
    </row>
    <row r="740" spans="12:14" hidden="1" x14ac:dyDescent="0.25">
      <c r="L740" s="20" t="str">
        <f ca="1">IF(A740="","",RANDBETWEEN(1,10))</f>
        <v/>
      </c>
      <c r="M740" s="20" t="str">
        <f>IF(A740="","",IF(L740&lt;8,"calibracion","validacion"))</f>
        <v/>
      </c>
      <c r="N740" s="20" t="s">
        <v>826</v>
      </c>
    </row>
    <row r="741" spans="12:14" hidden="1" x14ac:dyDescent="0.25">
      <c r="L741" s="20" t="str">
        <f ca="1">IF(A741="","",RANDBETWEEN(1,10))</f>
        <v/>
      </c>
      <c r="M741" s="20" t="str">
        <f>IF(A741="","",IF(L741&lt;8,"calibracion","validacion"))</f>
        <v/>
      </c>
      <c r="N741" s="20" t="s">
        <v>826</v>
      </c>
    </row>
    <row r="742" spans="12:14" hidden="1" x14ac:dyDescent="0.25">
      <c r="L742" s="20" t="str">
        <f ca="1">IF(A742="","",RANDBETWEEN(1,10))</f>
        <v/>
      </c>
      <c r="M742" s="20" t="str">
        <f>IF(A742="","",IF(L742&lt;8,"calibracion","validacion"))</f>
        <v/>
      </c>
      <c r="N742" s="20" t="s">
        <v>826</v>
      </c>
    </row>
    <row r="743" spans="12:14" hidden="1" x14ac:dyDescent="0.25">
      <c r="L743" s="20" t="str">
        <f ca="1">IF(A743="","",RANDBETWEEN(1,10))</f>
        <v/>
      </c>
      <c r="M743" s="20" t="str">
        <f>IF(A743="","",IF(L743&lt;8,"calibracion","validacion"))</f>
        <v/>
      </c>
      <c r="N743" s="20" t="s">
        <v>826</v>
      </c>
    </row>
    <row r="744" spans="12:14" hidden="1" x14ac:dyDescent="0.25">
      <c r="L744" s="20" t="str">
        <f ca="1">IF(A744="","",RANDBETWEEN(1,10))</f>
        <v/>
      </c>
      <c r="M744" s="20" t="str">
        <f>IF(A744="","",IF(L744&lt;8,"calibracion","validacion"))</f>
        <v/>
      </c>
      <c r="N744" s="20" t="s">
        <v>826</v>
      </c>
    </row>
    <row r="745" spans="12:14" hidden="1" x14ac:dyDescent="0.25">
      <c r="L745" s="20" t="str">
        <f ca="1">IF(A745="","",RANDBETWEEN(1,10))</f>
        <v/>
      </c>
      <c r="M745" s="20" t="str">
        <f>IF(A745="","",IF(L745&lt;8,"calibracion","validacion"))</f>
        <v/>
      </c>
      <c r="N745" s="20" t="s">
        <v>826</v>
      </c>
    </row>
    <row r="746" spans="12:14" hidden="1" x14ac:dyDescent="0.25">
      <c r="L746" s="20" t="str">
        <f ca="1">IF(A746="","",RANDBETWEEN(1,10))</f>
        <v/>
      </c>
      <c r="M746" s="20" t="str">
        <f>IF(A746="","",IF(L746&lt;8,"calibracion","validacion"))</f>
        <v/>
      </c>
      <c r="N746" s="20" t="s">
        <v>826</v>
      </c>
    </row>
    <row r="747" spans="12:14" hidden="1" x14ac:dyDescent="0.25">
      <c r="L747" s="20" t="str">
        <f ca="1">IF(A747="","",RANDBETWEEN(1,10))</f>
        <v/>
      </c>
      <c r="M747" s="20" t="str">
        <f>IF(A747="","",IF(L747&lt;8,"calibracion","validacion"))</f>
        <v/>
      </c>
      <c r="N747" s="20" t="s">
        <v>826</v>
      </c>
    </row>
    <row r="748" spans="12:14" hidden="1" x14ac:dyDescent="0.25">
      <c r="L748" s="20" t="str">
        <f ca="1">IF(A748="","",RANDBETWEEN(1,10))</f>
        <v/>
      </c>
      <c r="M748" s="20" t="str">
        <f>IF(A748="","",IF(L748&lt;8,"calibracion","validacion"))</f>
        <v/>
      </c>
      <c r="N748" s="20" t="s">
        <v>826</v>
      </c>
    </row>
    <row r="749" spans="12:14" hidden="1" x14ac:dyDescent="0.25">
      <c r="L749" s="20" t="str">
        <f ca="1">IF(A749="","",RANDBETWEEN(1,10))</f>
        <v/>
      </c>
      <c r="M749" s="20" t="str">
        <f>IF(A749="","",IF(L749&lt;8,"calibracion","validacion"))</f>
        <v/>
      </c>
      <c r="N749" s="20" t="s">
        <v>826</v>
      </c>
    </row>
    <row r="750" spans="12:14" hidden="1" x14ac:dyDescent="0.25">
      <c r="L750" s="20" t="str">
        <f ca="1">IF(A750="","",RANDBETWEEN(1,10))</f>
        <v/>
      </c>
      <c r="M750" s="20" t="str">
        <f>IF(A750="","",IF(L750&lt;8,"calibracion","validacion"))</f>
        <v/>
      </c>
      <c r="N750" s="20" t="s">
        <v>826</v>
      </c>
    </row>
    <row r="751" spans="12:14" hidden="1" x14ac:dyDescent="0.25">
      <c r="L751" s="20" t="str">
        <f ca="1">IF(A751="","",RANDBETWEEN(1,10))</f>
        <v/>
      </c>
      <c r="M751" s="20" t="str">
        <f>IF(A751="","",IF(L751&lt;8,"calibracion","validacion"))</f>
        <v/>
      </c>
      <c r="N751" s="20" t="s">
        <v>826</v>
      </c>
    </row>
    <row r="752" spans="12:14" hidden="1" x14ac:dyDescent="0.25">
      <c r="L752" s="20" t="str">
        <f ca="1">IF(A752="","",RANDBETWEEN(1,10))</f>
        <v/>
      </c>
      <c r="M752" s="20" t="str">
        <f>IF(A752="","",IF(L752&lt;8,"calibracion","validacion"))</f>
        <v/>
      </c>
      <c r="N752" s="20" t="s">
        <v>826</v>
      </c>
    </row>
    <row r="753" spans="12:14" hidden="1" x14ac:dyDescent="0.25">
      <c r="L753" s="20" t="str">
        <f ca="1">IF(A753="","",RANDBETWEEN(1,10))</f>
        <v/>
      </c>
      <c r="M753" s="20" t="str">
        <f>IF(A753="","",IF(L753&lt;8,"calibracion","validacion"))</f>
        <v/>
      </c>
      <c r="N753" s="20" t="s">
        <v>826</v>
      </c>
    </row>
    <row r="754" spans="12:14" hidden="1" x14ac:dyDescent="0.25">
      <c r="L754" s="20" t="str">
        <f ca="1">IF(A754="","",RANDBETWEEN(1,10))</f>
        <v/>
      </c>
      <c r="M754" s="20" t="str">
        <f>IF(A754="","",IF(L754&lt;8,"calibracion","validacion"))</f>
        <v/>
      </c>
      <c r="N754" s="20" t="s">
        <v>826</v>
      </c>
    </row>
    <row r="755" spans="12:14" hidden="1" x14ac:dyDescent="0.25">
      <c r="L755" s="20" t="str">
        <f ca="1">IF(A755="","",RANDBETWEEN(1,10))</f>
        <v/>
      </c>
      <c r="M755" s="20" t="str">
        <f>IF(A755="","",IF(L755&lt;8,"calibracion","validacion"))</f>
        <v/>
      </c>
      <c r="N755" s="20" t="s">
        <v>826</v>
      </c>
    </row>
    <row r="756" spans="12:14" hidden="1" x14ac:dyDescent="0.25">
      <c r="L756" s="20" t="str">
        <f ca="1">IF(A756="","",RANDBETWEEN(1,10))</f>
        <v/>
      </c>
      <c r="M756" s="20" t="str">
        <f>IF(A756="","",IF(L756&lt;8,"calibracion","validacion"))</f>
        <v/>
      </c>
      <c r="N756" s="20" t="s">
        <v>826</v>
      </c>
    </row>
    <row r="757" spans="12:14" hidden="1" x14ac:dyDescent="0.25">
      <c r="L757" s="20" t="str">
        <f ca="1">IF(A757="","",RANDBETWEEN(1,10))</f>
        <v/>
      </c>
      <c r="M757" s="20" t="str">
        <f>IF(A757="","",IF(L757&lt;8,"calibracion","validacion"))</f>
        <v/>
      </c>
      <c r="N757" s="20" t="s">
        <v>826</v>
      </c>
    </row>
    <row r="758" spans="12:14" hidden="1" x14ac:dyDescent="0.25">
      <c r="L758" s="20" t="str">
        <f ca="1">IF(A758="","",RANDBETWEEN(1,10))</f>
        <v/>
      </c>
      <c r="M758" s="20" t="str">
        <f>IF(A758="","",IF(L758&lt;8,"calibracion","validacion"))</f>
        <v/>
      </c>
      <c r="N758" s="20" t="s">
        <v>826</v>
      </c>
    </row>
    <row r="759" spans="12:14" hidden="1" x14ac:dyDescent="0.25">
      <c r="L759" s="20" t="str">
        <f ca="1">IF(A759="","",RANDBETWEEN(1,10))</f>
        <v/>
      </c>
      <c r="M759" s="20" t="str">
        <f>IF(A759="","",IF(L759&lt;8,"calibracion","validacion"))</f>
        <v/>
      </c>
      <c r="N759" s="20" t="s">
        <v>826</v>
      </c>
    </row>
    <row r="760" spans="12:14" hidden="1" x14ac:dyDescent="0.25">
      <c r="L760" s="20" t="str">
        <f ca="1">IF(A760="","",RANDBETWEEN(1,10))</f>
        <v/>
      </c>
      <c r="M760" s="20" t="str">
        <f>IF(A760="","",IF(L760&lt;8,"calibracion","validacion"))</f>
        <v/>
      </c>
      <c r="N760" s="20" t="s">
        <v>826</v>
      </c>
    </row>
    <row r="761" spans="12:14" hidden="1" x14ac:dyDescent="0.25">
      <c r="L761" s="20" t="str">
        <f ca="1">IF(A761="","",RANDBETWEEN(1,10))</f>
        <v/>
      </c>
      <c r="M761" s="20" t="str">
        <f>IF(A761="","",IF(L761&lt;8,"calibracion","validacion"))</f>
        <v/>
      </c>
      <c r="N761" s="20" t="s">
        <v>826</v>
      </c>
    </row>
    <row r="762" spans="12:14" hidden="1" x14ac:dyDescent="0.25">
      <c r="L762" s="20" t="str">
        <f ca="1">IF(A762="","",RANDBETWEEN(1,10))</f>
        <v/>
      </c>
      <c r="M762" s="20" t="str">
        <f>IF(A762="","",IF(L762&lt;8,"calibracion","validacion"))</f>
        <v/>
      </c>
      <c r="N762" s="20" t="s">
        <v>826</v>
      </c>
    </row>
    <row r="763" spans="12:14" hidden="1" x14ac:dyDescent="0.25">
      <c r="L763" s="20" t="str">
        <f ca="1">IF(A763="","",RANDBETWEEN(1,10))</f>
        <v/>
      </c>
      <c r="M763" s="20" t="str">
        <f>IF(A763="","",IF(L763&lt;8,"calibracion","validacion"))</f>
        <v/>
      </c>
      <c r="N763" s="20" t="s">
        <v>826</v>
      </c>
    </row>
    <row r="764" spans="12:14" hidden="1" x14ac:dyDescent="0.25">
      <c r="L764" s="20" t="str">
        <f ca="1">IF(A764="","",RANDBETWEEN(1,10))</f>
        <v/>
      </c>
      <c r="M764" s="20" t="str">
        <f>IF(A764="","",IF(L764&lt;8,"calibracion","validacion"))</f>
        <v/>
      </c>
      <c r="N764" s="20" t="s">
        <v>826</v>
      </c>
    </row>
    <row r="765" spans="12:14" hidden="1" x14ac:dyDescent="0.25">
      <c r="L765" s="20" t="str">
        <f ca="1">IF(A765="","",RANDBETWEEN(1,10))</f>
        <v/>
      </c>
      <c r="M765" s="20" t="str">
        <f>IF(A765="","",IF(L765&lt;8,"calibracion","validacion"))</f>
        <v/>
      </c>
      <c r="N765" s="20" t="s">
        <v>826</v>
      </c>
    </row>
    <row r="766" spans="12:14" hidden="1" x14ac:dyDescent="0.25">
      <c r="L766" s="20" t="str">
        <f ca="1">IF(A766="","",RANDBETWEEN(1,10))</f>
        <v/>
      </c>
      <c r="M766" s="20" t="str">
        <f>IF(A766="","",IF(L766&lt;8,"calibracion","validacion"))</f>
        <v/>
      </c>
      <c r="N766" s="20" t="s">
        <v>826</v>
      </c>
    </row>
    <row r="767" spans="12:14" hidden="1" x14ac:dyDescent="0.25">
      <c r="L767" s="20" t="str">
        <f ca="1">IF(A767="","",RANDBETWEEN(1,10))</f>
        <v/>
      </c>
      <c r="M767" s="20" t="str">
        <f>IF(A767="","",IF(L767&lt;8,"calibracion","validacion"))</f>
        <v/>
      </c>
      <c r="N767" s="20" t="s">
        <v>826</v>
      </c>
    </row>
    <row r="768" spans="12:14" hidden="1" x14ac:dyDescent="0.25">
      <c r="L768" s="20" t="str">
        <f ca="1">IF(A768="","",RANDBETWEEN(1,10))</f>
        <v/>
      </c>
      <c r="M768" s="20" t="str">
        <f>IF(A768="","",IF(L768&lt;8,"calibracion","validacion"))</f>
        <v/>
      </c>
      <c r="N768" s="20" t="s">
        <v>826</v>
      </c>
    </row>
    <row r="769" spans="12:14" hidden="1" x14ac:dyDescent="0.25">
      <c r="L769" s="20" t="str">
        <f ca="1">IF(A769="","",RANDBETWEEN(1,10))</f>
        <v/>
      </c>
      <c r="M769" s="20" t="str">
        <f>IF(A769="","",IF(L769&lt;8,"calibracion","validacion"))</f>
        <v/>
      </c>
      <c r="N769" s="20" t="s">
        <v>826</v>
      </c>
    </row>
    <row r="770" spans="12:14" hidden="1" x14ac:dyDescent="0.25">
      <c r="L770" s="20" t="str">
        <f ca="1">IF(A770="","",RANDBETWEEN(1,10))</f>
        <v/>
      </c>
      <c r="M770" s="20" t="str">
        <f>IF(A770="","",IF(L770&lt;8,"calibracion","validacion"))</f>
        <v/>
      </c>
      <c r="N770" s="20" t="s">
        <v>826</v>
      </c>
    </row>
    <row r="771" spans="12:14" hidden="1" x14ac:dyDescent="0.25">
      <c r="L771" s="20" t="str">
        <f ca="1">IF(A771="","",RANDBETWEEN(1,10))</f>
        <v/>
      </c>
      <c r="M771" s="20" t="str">
        <f>IF(A771="","",IF(L771&lt;8,"calibracion","validacion"))</f>
        <v/>
      </c>
      <c r="N771" s="20" t="s">
        <v>826</v>
      </c>
    </row>
    <row r="772" spans="12:14" hidden="1" x14ac:dyDescent="0.25">
      <c r="L772" s="20" t="str">
        <f ca="1">IF(A772="","",RANDBETWEEN(1,10))</f>
        <v/>
      </c>
      <c r="M772" s="20" t="str">
        <f>IF(A772="","",IF(L772&lt;8,"calibracion","validacion"))</f>
        <v/>
      </c>
      <c r="N772" s="20" t="s">
        <v>826</v>
      </c>
    </row>
    <row r="773" spans="12:14" hidden="1" x14ac:dyDescent="0.25">
      <c r="L773" s="20" t="str">
        <f ca="1">IF(A773="","",RANDBETWEEN(1,10))</f>
        <v/>
      </c>
      <c r="M773" s="20" t="str">
        <f>IF(A773="","",IF(L773&lt;8,"calibracion","validacion"))</f>
        <v/>
      </c>
      <c r="N773" s="20" t="s">
        <v>826</v>
      </c>
    </row>
    <row r="774" spans="12:14" hidden="1" x14ac:dyDescent="0.25">
      <c r="L774" s="20" t="str">
        <f ca="1">IF(A774="","",RANDBETWEEN(1,10))</f>
        <v/>
      </c>
      <c r="M774" s="20" t="str">
        <f>IF(A774="","",IF(L774&lt;8,"calibracion","validacion"))</f>
        <v/>
      </c>
      <c r="N774" s="20" t="s">
        <v>826</v>
      </c>
    </row>
    <row r="775" spans="12:14" hidden="1" x14ac:dyDescent="0.25">
      <c r="L775" s="20" t="str">
        <f ca="1">IF(A775="","",RANDBETWEEN(1,10))</f>
        <v/>
      </c>
      <c r="M775" s="20" t="str">
        <f>IF(A775="","",IF(L775&lt;8,"calibracion","validacion"))</f>
        <v/>
      </c>
      <c r="N775" s="20" t="s">
        <v>826</v>
      </c>
    </row>
    <row r="776" spans="12:14" hidden="1" x14ac:dyDescent="0.25">
      <c r="L776" s="20" t="str">
        <f ca="1">IF(A776="","",RANDBETWEEN(1,10))</f>
        <v/>
      </c>
      <c r="M776" s="20" t="str">
        <f>IF(A776="","",IF(L776&lt;8,"calibracion","validacion"))</f>
        <v/>
      </c>
      <c r="N776" s="20" t="s">
        <v>826</v>
      </c>
    </row>
    <row r="777" spans="12:14" hidden="1" x14ac:dyDescent="0.25">
      <c r="L777" s="20" t="str">
        <f ca="1">IF(A777="","",RANDBETWEEN(1,10))</f>
        <v/>
      </c>
      <c r="M777" s="20" t="str">
        <f>IF(A777="","",IF(L777&lt;8,"calibracion","validacion"))</f>
        <v/>
      </c>
      <c r="N777" s="20" t="s">
        <v>826</v>
      </c>
    </row>
    <row r="778" spans="12:14" hidden="1" x14ac:dyDescent="0.25">
      <c r="L778" s="20" t="str">
        <f ca="1">IF(A778="","",RANDBETWEEN(1,10))</f>
        <v/>
      </c>
      <c r="M778" s="20" t="str">
        <f>IF(A778="","",IF(L778&lt;8,"calibracion","validacion"))</f>
        <v/>
      </c>
      <c r="N778" s="20" t="s">
        <v>826</v>
      </c>
    </row>
    <row r="779" spans="12:14" hidden="1" x14ac:dyDescent="0.25">
      <c r="L779" s="20" t="str">
        <f ca="1">IF(A779="","",RANDBETWEEN(1,10))</f>
        <v/>
      </c>
      <c r="M779" s="20" t="str">
        <f>IF(A779="","",IF(L779&lt;8,"calibracion","validacion"))</f>
        <v/>
      </c>
      <c r="N779" s="20" t="s">
        <v>826</v>
      </c>
    </row>
    <row r="780" spans="12:14" hidden="1" x14ac:dyDescent="0.25">
      <c r="L780" s="20" t="str">
        <f ca="1">IF(A780="","",RANDBETWEEN(1,10))</f>
        <v/>
      </c>
      <c r="M780" s="20" t="str">
        <f>IF(A780="","",IF(L780&lt;8,"calibracion","validacion"))</f>
        <v/>
      </c>
      <c r="N780" s="20" t="s">
        <v>826</v>
      </c>
    </row>
    <row r="781" spans="12:14" hidden="1" x14ac:dyDescent="0.25">
      <c r="L781" s="20" t="str">
        <f ca="1">IF(A781="","",RANDBETWEEN(1,10))</f>
        <v/>
      </c>
      <c r="M781" s="20" t="str">
        <f>IF(A781="","",IF(L781&lt;8,"calibracion","validacion"))</f>
        <v/>
      </c>
      <c r="N781" s="20" t="s">
        <v>826</v>
      </c>
    </row>
    <row r="782" spans="12:14" hidden="1" x14ac:dyDescent="0.25">
      <c r="L782" s="20" t="str">
        <f ca="1">IF(A782="","",RANDBETWEEN(1,10))</f>
        <v/>
      </c>
      <c r="M782" s="20" t="str">
        <f>IF(A782="","",IF(L782&lt;8,"calibracion","validacion"))</f>
        <v/>
      </c>
      <c r="N782" s="20" t="s">
        <v>826</v>
      </c>
    </row>
    <row r="783" spans="12:14" hidden="1" x14ac:dyDescent="0.25">
      <c r="L783" s="20" t="str">
        <f ca="1">IF(A783="","",RANDBETWEEN(1,10))</f>
        <v/>
      </c>
      <c r="M783" s="20" t="str">
        <f>IF(A783="","",IF(L783&lt;8,"calibracion","validacion"))</f>
        <v/>
      </c>
      <c r="N783" s="20" t="s">
        <v>826</v>
      </c>
    </row>
    <row r="784" spans="12:14" hidden="1" x14ac:dyDescent="0.25">
      <c r="L784" s="20" t="str">
        <f ca="1">IF(A784="","",RANDBETWEEN(1,10))</f>
        <v/>
      </c>
      <c r="M784" s="20" t="str">
        <f>IF(A784="","",IF(L784&lt;8,"calibracion","validacion"))</f>
        <v/>
      </c>
      <c r="N784" s="20" t="s">
        <v>826</v>
      </c>
    </row>
    <row r="785" spans="12:14" hidden="1" x14ac:dyDescent="0.25">
      <c r="L785" s="20" t="str">
        <f ca="1">IF(A785="","",RANDBETWEEN(1,10))</f>
        <v/>
      </c>
      <c r="M785" s="20" t="str">
        <f>IF(A785="","",IF(L785&lt;8,"calibracion","validacion"))</f>
        <v/>
      </c>
      <c r="N785" s="20" t="s">
        <v>826</v>
      </c>
    </row>
    <row r="786" spans="12:14" hidden="1" x14ac:dyDescent="0.25">
      <c r="L786" s="20" t="str">
        <f ca="1">IF(A786="","",RANDBETWEEN(1,10))</f>
        <v/>
      </c>
      <c r="M786" s="20" t="str">
        <f>IF(A786="","",IF(L786&lt;8,"calibracion","validacion"))</f>
        <v/>
      </c>
      <c r="N786" s="20" t="s">
        <v>826</v>
      </c>
    </row>
    <row r="787" spans="12:14" hidden="1" x14ac:dyDescent="0.25">
      <c r="L787" s="20" t="str">
        <f ca="1">IF(A787="","",RANDBETWEEN(1,10))</f>
        <v/>
      </c>
      <c r="M787" s="20" t="str">
        <f>IF(A787="","",IF(L787&lt;8,"calibracion","validacion"))</f>
        <v/>
      </c>
      <c r="N787" s="20" t="s">
        <v>826</v>
      </c>
    </row>
    <row r="788" spans="12:14" hidden="1" x14ac:dyDescent="0.25">
      <c r="L788" s="20" t="str">
        <f ca="1">IF(A788="","",RANDBETWEEN(1,10))</f>
        <v/>
      </c>
      <c r="M788" s="20" t="str">
        <f>IF(A788="","",IF(L788&lt;8,"calibracion","validacion"))</f>
        <v/>
      </c>
      <c r="N788" s="20" t="s">
        <v>826</v>
      </c>
    </row>
    <row r="789" spans="12:14" hidden="1" x14ac:dyDescent="0.25">
      <c r="L789" s="20" t="str">
        <f ca="1">IF(A789="","",RANDBETWEEN(1,10))</f>
        <v/>
      </c>
      <c r="M789" s="20" t="str">
        <f>IF(A789="","",IF(L789&lt;8,"calibracion","validacion"))</f>
        <v/>
      </c>
      <c r="N789" s="20" t="s">
        <v>826</v>
      </c>
    </row>
    <row r="790" spans="12:14" hidden="1" x14ac:dyDescent="0.25">
      <c r="L790" s="20" t="str">
        <f ca="1">IF(A790="","",RANDBETWEEN(1,10))</f>
        <v/>
      </c>
      <c r="M790" s="20" t="str">
        <f>IF(A790="","",IF(L790&lt;8,"calibracion","validacion"))</f>
        <v/>
      </c>
      <c r="N790" s="20" t="s">
        <v>826</v>
      </c>
    </row>
    <row r="791" spans="12:14" hidden="1" x14ac:dyDescent="0.25">
      <c r="L791" s="20" t="str">
        <f ca="1">IF(A791="","",RANDBETWEEN(1,10))</f>
        <v/>
      </c>
      <c r="M791" s="20" t="str">
        <f>IF(A791="","",IF(L791&lt;8,"calibracion","validacion"))</f>
        <v/>
      </c>
      <c r="N791" s="20" t="s">
        <v>826</v>
      </c>
    </row>
    <row r="792" spans="12:14" hidden="1" x14ac:dyDescent="0.25">
      <c r="L792" s="20" t="str">
        <f ca="1">IF(A792="","",RANDBETWEEN(1,10))</f>
        <v/>
      </c>
      <c r="M792" s="20" t="str">
        <f>IF(A792="","",IF(L792&lt;8,"calibracion","validacion"))</f>
        <v/>
      </c>
      <c r="N792" s="20" t="s">
        <v>826</v>
      </c>
    </row>
    <row r="793" spans="12:14" hidden="1" x14ac:dyDescent="0.25">
      <c r="L793" s="20" t="str">
        <f ca="1">IF(A793="","",RANDBETWEEN(1,10))</f>
        <v/>
      </c>
      <c r="M793" s="20" t="str">
        <f>IF(A793="","",IF(L793&lt;8,"calibracion","validacion"))</f>
        <v/>
      </c>
      <c r="N793" s="20" t="s">
        <v>826</v>
      </c>
    </row>
    <row r="794" spans="12:14" hidden="1" x14ac:dyDescent="0.25">
      <c r="L794" s="20" t="str">
        <f ca="1">IF(A794="","",RANDBETWEEN(1,10))</f>
        <v/>
      </c>
      <c r="M794" s="20" t="str">
        <f>IF(A794="","",IF(L794&lt;8,"calibracion","validacion"))</f>
        <v/>
      </c>
      <c r="N794" s="20" t="s">
        <v>826</v>
      </c>
    </row>
    <row r="795" spans="12:14" hidden="1" x14ac:dyDescent="0.25">
      <c r="L795" s="20" t="str">
        <f ca="1">IF(A795="","",RANDBETWEEN(1,10))</f>
        <v/>
      </c>
      <c r="M795" s="20" t="str">
        <f>IF(A795="","",IF(L795&lt;8,"calibracion","validacion"))</f>
        <v/>
      </c>
      <c r="N795" s="20" t="s">
        <v>826</v>
      </c>
    </row>
    <row r="796" spans="12:14" hidden="1" x14ac:dyDescent="0.25">
      <c r="L796" s="20" t="str">
        <f ca="1">IF(A796="","",RANDBETWEEN(1,10))</f>
        <v/>
      </c>
      <c r="M796" s="20" t="str">
        <f>IF(A796="","",IF(L796&lt;8,"calibracion","validacion"))</f>
        <v/>
      </c>
      <c r="N796" s="20" t="s">
        <v>826</v>
      </c>
    </row>
    <row r="797" spans="12:14" hidden="1" x14ac:dyDescent="0.25">
      <c r="L797" s="20" t="str">
        <f ca="1">IF(A797="","",RANDBETWEEN(1,10))</f>
        <v/>
      </c>
      <c r="M797" s="20" t="str">
        <f>IF(A797="","",IF(L797&lt;8,"calibracion","validacion"))</f>
        <v/>
      </c>
      <c r="N797" s="20" t="s">
        <v>826</v>
      </c>
    </row>
    <row r="798" spans="12:14" hidden="1" x14ac:dyDescent="0.25">
      <c r="L798" s="20" t="str">
        <f ca="1">IF(A798="","",RANDBETWEEN(1,10))</f>
        <v/>
      </c>
      <c r="M798" s="20" t="str">
        <f>IF(A798="","",IF(L798&lt;8,"calibracion","validacion"))</f>
        <v/>
      </c>
      <c r="N798" s="20" t="s">
        <v>826</v>
      </c>
    </row>
    <row r="799" spans="12:14" hidden="1" x14ac:dyDescent="0.25">
      <c r="L799" s="20" t="str">
        <f ca="1">IF(A799="","",RANDBETWEEN(1,10))</f>
        <v/>
      </c>
      <c r="M799" s="20" t="str">
        <f>IF(A799="","",IF(L799&lt;8,"calibracion","validacion"))</f>
        <v/>
      </c>
      <c r="N799" s="20" t="s">
        <v>826</v>
      </c>
    </row>
    <row r="800" spans="12:14" hidden="1" x14ac:dyDescent="0.25">
      <c r="L800" s="20" t="str">
        <f ca="1">IF(A800="","",RANDBETWEEN(1,10))</f>
        <v/>
      </c>
      <c r="M800" s="20" t="str">
        <f>IF(A800="","",IF(L800&lt;8,"calibracion","validacion"))</f>
        <v/>
      </c>
      <c r="N800" s="20" t="s">
        <v>826</v>
      </c>
    </row>
    <row r="801" spans="12:14" hidden="1" x14ac:dyDescent="0.25">
      <c r="L801" s="20" t="str">
        <f ca="1">IF(A801="","",RANDBETWEEN(1,10))</f>
        <v/>
      </c>
      <c r="M801" s="20" t="str">
        <f>IF(A801="","",IF(L801&lt;8,"calibracion","validacion"))</f>
        <v/>
      </c>
      <c r="N801" s="20" t="s">
        <v>826</v>
      </c>
    </row>
    <row r="802" spans="12:14" hidden="1" x14ac:dyDescent="0.25">
      <c r="L802" s="20" t="str">
        <f ca="1">IF(A802="","",RANDBETWEEN(1,10))</f>
        <v/>
      </c>
      <c r="M802" s="20" t="str">
        <f>IF(A802="","",IF(L802&lt;8,"calibracion","validacion"))</f>
        <v/>
      </c>
      <c r="N802" s="20" t="s">
        <v>826</v>
      </c>
    </row>
    <row r="803" spans="12:14" hidden="1" x14ac:dyDescent="0.25">
      <c r="L803" s="20" t="str">
        <f ca="1">IF(A803="","",RANDBETWEEN(1,10))</f>
        <v/>
      </c>
      <c r="M803" s="20" t="str">
        <f>IF(A803="","",IF(L803&lt;8,"calibracion","validacion"))</f>
        <v/>
      </c>
      <c r="N803" s="20" t="s">
        <v>826</v>
      </c>
    </row>
    <row r="804" spans="12:14" hidden="1" x14ac:dyDescent="0.25">
      <c r="L804" s="20" t="str">
        <f ca="1">IF(A804="","",RANDBETWEEN(1,10))</f>
        <v/>
      </c>
      <c r="M804" s="20" t="str">
        <f>IF(A804="","",IF(L804&lt;8,"calibracion","validacion"))</f>
        <v/>
      </c>
      <c r="N804" s="20" t="s">
        <v>826</v>
      </c>
    </row>
    <row r="805" spans="12:14" hidden="1" x14ac:dyDescent="0.25">
      <c r="L805" s="20" t="str">
        <f ca="1">IF(A805="","",RANDBETWEEN(1,10))</f>
        <v/>
      </c>
      <c r="M805" s="20" t="str">
        <f>IF(A805="","",IF(L805&lt;8,"calibracion","validacion"))</f>
        <v/>
      </c>
      <c r="N805" s="20" t="s">
        <v>826</v>
      </c>
    </row>
    <row r="806" spans="12:14" hidden="1" x14ac:dyDescent="0.25">
      <c r="L806" s="20" t="str">
        <f ca="1">IF(A806="","",RANDBETWEEN(1,10))</f>
        <v/>
      </c>
      <c r="M806" s="20" t="str">
        <f>IF(A806="","",IF(L806&lt;8,"calibracion","validacion"))</f>
        <v/>
      </c>
      <c r="N806" s="20" t="s">
        <v>826</v>
      </c>
    </row>
    <row r="807" spans="12:14" hidden="1" x14ac:dyDescent="0.25">
      <c r="L807" s="20" t="str">
        <f ca="1">IF(A807="","",RANDBETWEEN(1,10))</f>
        <v/>
      </c>
      <c r="M807" s="20" t="str">
        <f>IF(A807="","",IF(L807&lt;8,"calibracion","validacion"))</f>
        <v/>
      </c>
      <c r="N807" s="20" t="s">
        <v>826</v>
      </c>
    </row>
    <row r="808" spans="12:14" hidden="1" x14ac:dyDescent="0.25">
      <c r="L808" s="20" t="str">
        <f ca="1">IF(A808="","",RANDBETWEEN(1,10))</f>
        <v/>
      </c>
      <c r="M808" s="20" t="str">
        <f>IF(A808="","",IF(L808&lt;8,"calibracion","validacion"))</f>
        <v/>
      </c>
      <c r="N808" s="20" t="s">
        <v>826</v>
      </c>
    </row>
    <row r="809" spans="12:14" hidden="1" x14ac:dyDescent="0.25">
      <c r="L809" s="20" t="str">
        <f ca="1">IF(A809="","",RANDBETWEEN(1,10))</f>
        <v/>
      </c>
      <c r="M809" s="20" t="str">
        <f>IF(A809="","",IF(L809&lt;8,"calibracion","validacion"))</f>
        <v/>
      </c>
      <c r="N809" s="20" t="s">
        <v>826</v>
      </c>
    </row>
    <row r="810" spans="12:14" hidden="1" x14ac:dyDescent="0.25">
      <c r="L810" s="20" t="str">
        <f ca="1">IF(A810="","",RANDBETWEEN(1,10))</f>
        <v/>
      </c>
      <c r="M810" s="20" t="str">
        <f>IF(A810="","",IF(L810&lt;8,"calibracion","validacion"))</f>
        <v/>
      </c>
      <c r="N810" s="20" t="s">
        <v>826</v>
      </c>
    </row>
    <row r="811" spans="12:14" hidden="1" x14ac:dyDescent="0.25">
      <c r="L811" s="20" t="str">
        <f ca="1">IF(A811="","",RANDBETWEEN(1,10))</f>
        <v/>
      </c>
      <c r="M811" s="20" t="str">
        <f>IF(A811="","",IF(L811&lt;8,"calibracion","validacion"))</f>
        <v/>
      </c>
      <c r="N811" s="20" t="s">
        <v>826</v>
      </c>
    </row>
    <row r="812" spans="12:14" hidden="1" x14ac:dyDescent="0.25">
      <c r="L812" s="20" t="str">
        <f ca="1">IF(A812="","",RANDBETWEEN(1,10))</f>
        <v/>
      </c>
      <c r="M812" s="20" t="str">
        <f>IF(A812="","",IF(L812&lt;8,"calibracion","validacion"))</f>
        <v/>
      </c>
      <c r="N812" s="20" t="s">
        <v>826</v>
      </c>
    </row>
    <row r="813" spans="12:14" hidden="1" x14ac:dyDescent="0.25">
      <c r="L813" s="20" t="str">
        <f ca="1">IF(A813="","",RANDBETWEEN(1,10))</f>
        <v/>
      </c>
      <c r="M813" s="20" t="str">
        <f>IF(A813="","",IF(L813&lt;8,"calibracion","validacion"))</f>
        <v/>
      </c>
      <c r="N813" s="20" t="s">
        <v>826</v>
      </c>
    </row>
    <row r="814" spans="12:14" hidden="1" x14ac:dyDescent="0.25">
      <c r="L814" s="20" t="str">
        <f ca="1">IF(A814="","",RANDBETWEEN(1,10))</f>
        <v/>
      </c>
      <c r="M814" s="20" t="str">
        <f>IF(A814="","",IF(L814&lt;8,"calibracion","validacion"))</f>
        <v/>
      </c>
      <c r="N814" s="20" t="s">
        <v>826</v>
      </c>
    </row>
    <row r="815" spans="12:14" hidden="1" x14ac:dyDescent="0.25">
      <c r="L815" s="20" t="str">
        <f ca="1">IF(A815="","",RANDBETWEEN(1,10))</f>
        <v/>
      </c>
      <c r="M815" s="20" t="str">
        <f>IF(A815="","",IF(L815&lt;8,"calibracion","validacion"))</f>
        <v/>
      </c>
      <c r="N815" s="20" t="s">
        <v>826</v>
      </c>
    </row>
    <row r="816" spans="12:14" hidden="1" x14ac:dyDescent="0.25">
      <c r="L816" s="20" t="str">
        <f ca="1">IF(A816="","",RANDBETWEEN(1,10))</f>
        <v/>
      </c>
      <c r="M816" s="20" t="str">
        <f>IF(A816="","",IF(L816&lt;8,"calibracion","validacion"))</f>
        <v/>
      </c>
      <c r="N816" s="20" t="s">
        <v>826</v>
      </c>
    </row>
    <row r="817" spans="12:14" hidden="1" x14ac:dyDescent="0.25">
      <c r="L817" s="20" t="str">
        <f ca="1">IF(A817="","",RANDBETWEEN(1,10))</f>
        <v/>
      </c>
      <c r="M817" s="20" t="str">
        <f>IF(A817="","",IF(L817&lt;8,"calibracion","validacion"))</f>
        <v/>
      </c>
      <c r="N817" s="20" t="s">
        <v>826</v>
      </c>
    </row>
    <row r="818" spans="12:14" hidden="1" x14ac:dyDescent="0.25">
      <c r="L818" s="20" t="str">
        <f ca="1">IF(A818="","",RANDBETWEEN(1,10))</f>
        <v/>
      </c>
      <c r="M818" s="20" t="str">
        <f>IF(A818="","",IF(L818&lt;8,"calibracion","validacion"))</f>
        <v/>
      </c>
      <c r="N818" s="20" t="s">
        <v>826</v>
      </c>
    </row>
    <row r="819" spans="12:14" hidden="1" x14ac:dyDescent="0.25">
      <c r="L819" s="20" t="str">
        <f ca="1">IF(A819="","",RANDBETWEEN(1,10))</f>
        <v/>
      </c>
      <c r="M819" s="20" t="str">
        <f>IF(A819="","",IF(L819&lt;8,"calibracion","validacion"))</f>
        <v/>
      </c>
      <c r="N819" s="20" t="s">
        <v>826</v>
      </c>
    </row>
    <row r="820" spans="12:14" hidden="1" x14ac:dyDescent="0.25">
      <c r="L820" s="20" t="str">
        <f ca="1">IF(A820="","",RANDBETWEEN(1,10))</f>
        <v/>
      </c>
      <c r="M820" s="20" t="str">
        <f>IF(A820="","",IF(L820&lt;8,"calibracion","validacion"))</f>
        <v/>
      </c>
      <c r="N820" s="20" t="s">
        <v>826</v>
      </c>
    </row>
    <row r="821" spans="12:14" hidden="1" x14ac:dyDescent="0.25">
      <c r="L821" s="20" t="str">
        <f ca="1">IF(A821="","",RANDBETWEEN(1,10))</f>
        <v/>
      </c>
      <c r="M821" s="20" t="str">
        <f>IF(A821="","",IF(L821&lt;8,"calibracion","validacion"))</f>
        <v/>
      </c>
      <c r="N821" s="20" t="s">
        <v>826</v>
      </c>
    </row>
    <row r="822" spans="12:14" hidden="1" x14ac:dyDescent="0.25">
      <c r="L822" s="20" t="str">
        <f ca="1">IF(A822="","",RANDBETWEEN(1,10))</f>
        <v/>
      </c>
      <c r="M822" s="20" t="str">
        <f>IF(A822="","",IF(L822&lt;8,"calibracion","validacion"))</f>
        <v/>
      </c>
      <c r="N822" s="20" t="s">
        <v>826</v>
      </c>
    </row>
    <row r="823" spans="12:14" hidden="1" x14ac:dyDescent="0.25">
      <c r="L823" s="20" t="str">
        <f ca="1">IF(A823="","",RANDBETWEEN(1,10))</f>
        <v/>
      </c>
      <c r="M823" s="20" t="str">
        <f>IF(A823="","",IF(L823&lt;8,"calibracion","validacion"))</f>
        <v/>
      </c>
      <c r="N823" s="20" t="s">
        <v>826</v>
      </c>
    </row>
    <row r="824" spans="12:14" hidden="1" x14ac:dyDescent="0.25">
      <c r="L824" s="20" t="str">
        <f ca="1">IF(A824="","",RANDBETWEEN(1,10))</f>
        <v/>
      </c>
      <c r="M824" s="20" t="str">
        <f>IF(A824="","",IF(L824&lt;8,"calibracion","validacion"))</f>
        <v/>
      </c>
      <c r="N824" s="20" t="s">
        <v>826</v>
      </c>
    </row>
    <row r="825" spans="12:14" hidden="1" x14ac:dyDescent="0.25">
      <c r="L825" s="20" t="str">
        <f ca="1">IF(A825="","",RANDBETWEEN(1,10))</f>
        <v/>
      </c>
      <c r="M825" s="20" t="str">
        <f>IF(A825="","",IF(L825&lt;8,"calibracion","validacion"))</f>
        <v/>
      </c>
      <c r="N825" s="20" t="s">
        <v>826</v>
      </c>
    </row>
    <row r="826" spans="12:14" hidden="1" x14ac:dyDescent="0.25">
      <c r="L826" s="20" t="str">
        <f ca="1">IF(A826="","",RANDBETWEEN(1,10))</f>
        <v/>
      </c>
      <c r="M826" s="20" t="str">
        <f>IF(A826="","",IF(L826&lt;8,"calibracion","validacion"))</f>
        <v/>
      </c>
      <c r="N826" s="20" t="s">
        <v>826</v>
      </c>
    </row>
    <row r="827" spans="12:14" hidden="1" x14ac:dyDescent="0.25">
      <c r="L827" s="20" t="str">
        <f ca="1">IF(A827="","",RANDBETWEEN(1,10))</f>
        <v/>
      </c>
      <c r="M827" s="20" t="str">
        <f>IF(A827="","",IF(L827&lt;8,"calibracion","validacion"))</f>
        <v/>
      </c>
      <c r="N827" s="20" t="s">
        <v>826</v>
      </c>
    </row>
    <row r="828" spans="12:14" hidden="1" x14ac:dyDescent="0.25">
      <c r="L828" s="20" t="str">
        <f ca="1">IF(A828="","",RANDBETWEEN(1,10))</f>
        <v/>
      </c>
      <c r="M828" s="20" t="str">
        <f>IF(A828="","",IF(L828&lt;8,"calibracion","validacion"))</f>
        <v/>
      </c>
      <c r="N828" s="20" t="s">
        <v>826</v>
      </c>
    </row>
    <row r="829" spans="12:14" hidden="1" x14ac:dyDescent="0.25">
      <c r="L829" s="20" t="str">
        <f ca="1">IF(A829="","",RANDBETWEEN(1,10))</f>
        <v/>
      </c>
      <c r="M829" s="20" t="str">
        <f>IF(A829="","",IF(L829&lt;8,"calibracion","validacion"))</f>
        <v/>
      </c>
      <c r="N829" s="20" t="s">
        <v>826</v>
      </c>
    </row>
    <row r="830" spans="12:14" hidden="1" x14ac:dyDescent="0.25">
      <c r="L830" s="20" t="str">
        <f ca="1">IF(A830="","",RANDBETWEEN(1,10))</f>
        <v/>
      </c>
      <c r="M830" s="20" t="str">
        <f>IF(A830="","",IF(L830&lt;8,"calibracion","validacion"))</f>
        <v/>
      </c>
      <c r="N830" s="20" t="s">
        <v>826</v>
      </c>
    </row>
    <row r="831" spans="12:14" hidden="1" x14ac:dyDescent="0.25">
      <c r="L831" s="20" t="str">
        <f ca="1">IF(A831="","",RANDBETWEEN(1,10))</f>
        <v/>
      </c>
      <c r="M831" s="20" t="str">
        <f>IF(A831="","",IF(L831&lt;8,"calibracion","validacion"))</f>
        <v/>
      </c>
      <c r="N831" s="20" t="s">
        <v>826</v>
      </c>
    </row>
    <row r="832" spans="12:14" hidden="1" x14ac:dyDescent="0.25">
      <c r="L832" s="20" t="str">
        <f ca="1">IF(A832="","",RANDBETWEEN(1,10))</f>
        <v/>
      </c>
      <c r="M832" s="20" t="str">
        <f>IF(A832="","",IF(L832&lt;8,"calibracion","validacion"))</f>
        <v/>
      </c>
      <c r="N832" s="20" t="s">
        <v>826</v>
      </c>
    </row>
    <row r="833" spans="12:14" hidden="1" x14ac:dyDescent="0.25">
      <c r="L833" s="20" t="str">
        <f ca="1">IF(A833="","",RANDBETWEEN(1,10))</f>
        <v/>
      </c>
      <c r="M833" s="20" t="str">
        <f>IF(A833="","",IF(L833&lt;8,"calibracion","validacion"))</f>
        <v/>
      </c>
      <c r="N833" s="20" t="s">
        <v>826</v>
      </c>
    </row>
    <row r="834" spans="12:14" hidden="1" x14ac:dyDescent="0.25">
      <c r="L834" s="20" t="str">
        <f ca="1">IF(A834="","",RANDBETWEEN(1,10))</f>
        <v/>
      </c>
      <c r="M834" s="20" t="str">
        <f>IF(A834="","",IF(L834&lt;8,"calibracion","validacion"))</f>
        <v/>
      </c>
      <c r="N834" s="20" t="s">
        <v>826</v>
      </c>
    </row>
    <row r="835" spans="12:14" hidden="1" x14ac:dyDescent="0.25">
      <c r="L835" s="20" t="str">
        <f ca="1">IF(A835="","",RANDBETWEEN(1,10))</f>
        <v/>
      </c>
      <c r="M835" s="20" t="str">
        <f>IF(A835="","",IF(L835&lt;8,"calibracion","validacion"))</f>
        <v/>
      </c>
      <c r="N835" s="20" t="s">
        <v>826</v>
      </c>
    </row>
    <row r="836" spans="12:14" hidden="1" x14ac:dyDescent="0.25">
      <c r="L836" s="20" t="str">
        <f ca="1">IF(A836="","",RANDBETWEEN(1,10))</f>
        <v/>
      </c>
      <c r="M836" s="20" t="str">
        <f>IF(A836="","",IF(L836&lt;8,"calibracion","validacion"))</f>
        <v/>
      </c>
      <c r="N836" s="20" t="s">
        <v>826</v>
      </c>
    </row>
    <row r="837" spans="12:14" hidden="1" x14ac:dyDescent="0.25">
      <c r="L837" s="20" t="str">
        <f ca="1">IF(A837="","",RANDBETWEEN(1,10))</f>
        <v/>
      </c>
      <c r="M837" s="20" t="str">
        <f>IF(A837="","",IF(L837&lt;8,"calibracion","validacion"))</f>
        <v/>
      </c>
      <c r="N837" s="20" t="s">
        <v>826</v>
      </c>
    </row>
    <row r="838" spans="12:14" hidden="1" x14ac:dyDescent="0.25">
      <c r="L838" s="20" t="str">
        <f ca="1">IF(A838="","",RANDBETWEEN(1,10))</f>
        <v/>
      </c>
      <c r="M838" s="20" t="str">
        <f>IF(A838="","",IF(L838&lt;8,"calibracion","validacion"))</f>
        <v/>
      </c>
      <c r="N838" s="20" t="s">
        <v>826</v>
      </c>
    </row>
    <row r="839" spans="12:14" hidden="1" x14ac:dyDescent="0.25">
      <c r="L839" s="20" t="str">
        <f ca="1">IF(A839="","",RANDBETWEEN(1,10))</f>
        <v/>
      </c>
      <c r="M839" s="20" t="str">
        <f>IF(A839="","",IF(L839&lt;8,"calibracion","validacion"))</f>
        <v/>
      </c>
      <c r="N839" s="20" t="s">
        <v>826</v>
      </c>
    </row>
    <row r="840" spans="12:14" hidden="1" x14ac:dyDescent="0.25">
      <c r="L840" s="20" t="str">
        <f ca="1">IF(A840="","",RANDBETWEEN(1,10))</f>
        <v/>
      </c>
      <c r="M840" s="20" t="str">
        <f>IF(A840="","",IF(L840&lt;8,"calibracion","validacion"))</f>
        <v/>
      </c>
      <c r="N840" s="20" t="s">
        <v>826</v>
      </c>
    </row>
    <row r="841" spans="12:14" hidden="1" x14ac:dyDescent="0.25">
      <c r="L841" s="20" t="str">
        <f ca="1">IF(A841="","",RANDBETWEEN(1,10))</f>
        <v/>
      </c>
      <c r="M841" s="20" t="str">
        <f>IF(A841="","",IF(L841&lt;8,"calibracion","validacion"))</f>
        <v/>
      </c>
      <c r="N841" s="20" t="s">
        <v>826</v>
      </c>
    </row>
    <row r="842" spans="12:14" hidden="1" x14ac:dyDescent="0.25">
      <c r="L842" s="20" t="str">
        <f ca="1">IF(A842="","",RANDBETWEEN(1,10))</f>
        <v/>
      </c>
      <c r="M842" s="20" t="str">
        <f>IF(A842="","",IF(L842&lt;8,"calibracion","validacion"))</f>
        <v/>
      </c>
      <c r="N842" s="20" t="s">
        <v>826</v>
      </c>
    </row>
    <row r="843" spans="12:14" hidden="1" x14ac:dyDescent="0.25">
      <c r="L843" s="20" t="str">
        <f ca="1">IF(A843="","",RANDBETWEEN(1,10))</f>
        <v/>
      </c>
      <c r="M843" s="20" t="str">
        <f>IF(A843="","",IF(L843&lt;8,"calibracion","validacion"))</f>
        <v/>
      </c>
      <c r="N843" s="20" t="s">
        <v>826</v>
      </c>
    </row>
    <row r="844" spans="12:14" hidden="1" x14ac:dyDescent="0.25">
      <c r="L844" s="20" t="str">
        <f ca="1">IF(A844="","",RANDBETWEEN(1,10))</f>
        <v/>
      </c>
      <c r="M844" s="20" t="str">
        <f>IF(A844="","",IF(L844&lt;8,"calibracion","validacion"))</f>
        <v/>
      </c>
      <c r="N844" s="20" t="s">
        <v>826</v>
      </c>
    </row>
    <row r="845" spans="12:14" hidden="1" x14ac:dyDescent="0.25">
      <c r="L845" s="20" t="str">
        <f ca="1">IF(A845="","",RANDBETWEEN(1,10))</f>
        <v/>
      </c>
      <c r="M845" s="20" t="str">
        <f>IF(A845="","",IF(L845&lt;8,"calibracion","validacion"))</f>
        <v/>
      </c>
      <c r="N845" s="20" t="s">
        <v>826</v>
      </c>
    </row>
    <row r="846" spans="12:14" hidden="1" x14ac:dyDescent="0.25">
      <c r="L846" s="20" t="str">
        <f ca="1">IF(A846="","",RANDBETWEEN(1,10))</f>
        <v/>
      </c>
      <c r="M846" s="20" t="str">
        <f>IF(A846="","",IF(L846&lt;8,"calibracion","validacion"))</f>
        <v/>
      </c>
      <c r="N846" s="20" t="s">
        <v>826</v>
      </c>
    </row>
    <row r="847" spans="12:14" hidden="1" x14ac:dyDescent="0.25">
      <c r="L847" s="20" t="str">
        <f ca="1">IF(A847="","",RANDBETWEEN(1,10))</f>
        <v/>
      </c>
      <c r="M847" s="20" t="str">
        <f>IF(A847="","",IF(L847&lt;8,"calibracion","validacion"))</f>
        <v/>
      </c>
      <c r="N847" s="20" t="s">
        <v>826</v>
      </c>
    </row>
    <row r="848" spans="12:14" hidden="1" x14ac:dyDescent="0.25">
      <c r="L848" s="20" t="str">
        <f ca="1">IF(A848="","",RANDBETWEEN(1,10))</f>
        <v/>
      </c>
      <c r="M848" s="20" t="str">
        <f>IF(A848="","",IF(L848&lt;8,"calibracion","validacion"))</f>
        <v/>
      </c>
      <c r="N848" s="20" t="s">
        <v>826</v>
      </c>
    </row>
    <row r="849" spans="12:14" hidden="1" x14ac:dyDescent="0.25">
      <c r="L849" s="20" t="str">
        <f ca="1">IF(A849="","",RANDBETWEEN(1,10))</f>
        <v/>
      </c>
      <c r="M849" s="20" t="str">
        <f>IF(A849="","",IF(L849&lt;8,"calibracion","validacion"))</f>
        <v/>
      </c>
      <c r="N849" s="20" t="s">
        <v>826</v>
      </c>
    </row>
    <row r="850" spans="12:14" hidden="1" x14ac:dyDescent="0.25">
      <c r="L850" s="20" t="str">
        <f ca="1">IF(A850="","",RANDBETWEEN(1,10))</f>
        <v/>
      </c>
      <c r="M850" s="20" t="str">
        <f>IF(A850="","",IF(L850&lt;8,"calibracion","validacion"))</f>
        <v/>
      </c>
      <c r="N850" s="20" t="s">
        <v>826</v>
      </c>
    </row>
    <row r="851" spans="12:14" hidden="1" x14ac:dyDescent="0.25">
      <c r="L851" s="20" t="str">
        <f ca="1">IF(A851="","",RANDBETWEEN(1,10))</f>
        <v/>
      </c>
      <c r="M851" s="20" t="str">
        <f>IF(A851="","",IF(L851&lt;8,"calibracion","validacion"))</f>
        <v/>
      </c>
      <c r="N851" s="20" t="s">
        <v>826</v>
      </c>
    </row>
    <row r="852" spans="12:14" hidden="1" x14ac:dyDescent="0.25">
      <c r="L852" s="20" t="str">
        <f ca="1">IF(A852="","",RANDBETWEEN(1,10))</f>
        <v/>
      </c>
      <c r="M852" s="20" t="str">
        <f>IF(A852="","",IF(L852&lt;8,"calibracion","validacion"))</f>
        <v/>
      </c>
      <c r="N852" s="20" t="s">
        <v>826</v>
      </c>
    </row>
    <row r="853" spans="12:14" hidden="1" x14ac:dyDescent="0.25">
      <c r="L853" s="20" t="str">
        <f ca="1">IF(A853="","",RANDBETWEEN(1,10))</f>
        <v/>
      </c>
      <c r="M853" s="20" t="str">
        <f>IF(A853="","",IF(L853&lt;8,"calibracion","validacion"))</f>
        <v/>
      </c>
      <c r="N853" s="20" t="s">
        <v>826</v>
      </c>
    </row>
    <row r="854" spans="12:14" hidden="1" x14ac:dyDescent="0.25">
      <c r="L854" s="20" t="str">
        <f ca="1">IF(A854="","",RANDBETWEEN(1,10))</f>
        <v/>
      </c>
      <c r="M854" s="20" t="str">
        <f>IF(A854="","",IF(L854&lt;8,"calibracion","validacion"))</f>
        <v/>
      </c>
      <c r="N854" s="20" t="s">
        <v>826</v>
      </c>
    </row>
    <row r="855" spans="12:14" hidden="1" x14ac:dyDescent="0.25">
      <c r="L855" s="20" t="str">
        <f ca="1">IF(A855="","",RANDBETWEEN(1,10))</f>
        <v/>
      </c>
      <c r="M855" s="20" t="str">
        <f>IF(A855="","",IF(L855&lt;8,"calibracion","validacion"))</f>
        <v/>
      </c>
      <c r="N855" s="20" t="s">
        <v>826</v>
      </c>
    </row>
    <row r="856" spans="12:14" hidden="1" x14ac:dyDescent="0.25">
      <c r="L856" s="20" t="str">
        <f ca="1">IF(A856="","",RANDBETWEEN(1,10))</f>
        <v/>
      </c>
      <c r="M856" s="20" t="str">
        <f>IF(A856="","",IF(L856&lt;8,"calibracion","validacion"))</f>
        <v/>
      </c>
      <c r="N856" s="20" t="s">
        <v>826</v>
      </c>
    </row>
    <row r="857" spans="12:14" hidden="1" x14ac:dyDescent="0.25">
      <c r="L857" s="20" t="str">
        <f ca="1">IF(A857="","",RANDBETWEEN(1,10))</f>
        <v/>
      </c>
      <c r="M857" s="20" t="str">
        <f>IF(A857="","",IF(L857&lt;8,"calibracion","validacion"))</f>
        <v/>
      </c>
      <c r="N857" s="20" t="s">
        <v>826</v>
      </c>
    </row>
    <row r="858" spans="12:14" hidden="1" x14ac:dyDescent="0.25">
      <c r="L858" s="20" t="str">
        <f ca="1">IF(A858="","",RANDBETWEEN(1,10))</f>
        <v/>
      </c>
      <c r="M858" s="20" t="str">
        <f>IF(A858="","",IF(L858&lt;8,"calibracion","validacion"))</f>
        <v/>
      </c>
      <c r="N858" s="20" t="s">
        <v>826</v>
      </c>
    </row>
    <row r="859" spans="12:14" hidden="1" x14ac:dyDescent="0.25">
      <c r="L859" s="20" t="str">
        <f ca="1">IF(A859="","",RANDBETWEEN(1,10))</f>
        <v/>
      </c>
      <c r="M859" s="20" t="str">
        <f>IF(A859="","",IF(L859&lt;8,"calibracion","validacion"))</f>
        <v/>
      </c>
      <c r="N859" s="20" t="s">
        <v>826</v>
      </c>
    </row>
    <row r="860" spans="12:14" hidden="1" x14ac:dyDescent="0.25">
      <c r="L860" s="20" t="str">
        <f ca="1">IF(A860="","",RANDBETWEEN(1,10))</f>
        <v/>
      </c>
      <c r="M860" s="20" t="str">
        <f>IF(A860="","",IF(L860&lt;8,"calibracion","validacion"))</f>
        <v/>
      </c>
      <c r="N860" s="20" t="s">
        <v>826</v>
      </c>
    </row>
    <row r="861" spans="12:14" hidden="1" x14ac:dyDescent="0.25">
      <c r="L861" s="20" t="str">
        <f ca="1">IF(A861="","",RANDBETWEEN(1,10))</f>
        <v/>
      </c>
      <c r="M861" s="20" t="str">
        <f>IF(A861="","",IF(L861&lt;8,"calibracion","validacion"))</f>
        <v/>
      </c>
      <c r="N861" s="20" t="s">
        <v>826</v>
      </c>
    </row>
    <row r="862" spans="12:14" hidden="1" x14ac:dyDescent="0.25">
      <c r="L862" s="20" t="str">
        <f ca="1">IF(A862="","",RANDBETWEEN(1,10))</f>
        <v/>
      </c>
      <c r="M862" s="20" t="str">
        <f>IF(A862="","",IF(L862&lt;8,"calibracion","validacion"))</f>
        <v/>
      </c>
      <c r="N862" s="20" t="s">
        <v>826</v>
      </c>
    </row>
    <row r="863" spans="12:14" hidden="1" x14ac:dyDescent="0.25">
      <c r="L863" s="20" t="str">
        <f ca="1">IF(A863="","",RANDBETWEEN(1,10))</f>
        <v/>
      </c>
      <c r="M863" s="20" t="str">
        <f>IF(A863="","",IF(L863&lt;8,"calibracion","validacion"))</f>
        <v/>
      </c>
      <c r="N863" s="20" t="s">
        <v>826</v>
      </c>
    </row>
    <row r="864" spans="12:14" hidden="1" x14ac:dyDescent="0.25">
      <c r="L864" s="20" t="str">
        <f ca="1">IF(A864="","",RANDBETWEEN(1,10))</f>
        <v/>
      </c>
      <c r="M864" s="20" t="str">
        <f>IF(A864="","",IF(L864&lt;8,"calibracion","validacion"))</f>
        <v/>
      </c>
      <c r="N864" s="20" t="s">
        <v>826</v>
      </c>
    </row>
    <row r="865" spans="12:14" hidden="1" x14ac:dyDescent="0.25">
      <c r="L865" s="20" t="str">
        <f ca="1">IF(A865="","",RANDBETWEEN(1,10))</f>
        <v/>
      </c>
      <c r="M865" s="20" t="str">
        <f>IF(A865="","",IF(L865&lt;8,"calibracion","validacion"))</f>
        <v/>
      </c>
      <c r="N865" s="20" t="s">
        <v>826</v>
      </c>
    </row>
    <row r="866" spans="12:14" hidden="1" x14ac:dyDescent="0.25">
      <c r="L866" s="20" t="str">
        <f ca="1">IF(A866="","",RANDBETWEEN(1,10))</f>
        <v/>
      </c>
      <c r="M866" s="20" t="str">
        <f>IF(A866="","",IF(L866&lt;8,"calibracion","validacion"))</f>
        <v/>
      </c>
      <c r="N866" s="20" t="s">
        <v>826</v>
      </c>
    </row>
    <row r="867" spans="12:14" hidden="1" x14ac:dyDescent="0.25">
      <c r="L867" s="20" t="str">
        <f ca="1">IF(A867="","",RANDBETWEEN(1,10))</f>
        <v/>
      </c>
      <c r="M867" s="20" t="str">
        <f>IF(A867="","",IF(L867&lt;8,"calibracion","validacion"))</f>
        <v/>
      </c>
      <c r="N867" s="20" t="s">
        <v>826</v>
      </c>
    </row>
    <row r="868" spans="12:14" hidden="1" x14ac:dyDescent="0.25">
      <c r="L868" s="20" t="str">
        <f ca="1">IF(A868="","",RANDBETWEEN(1,10))</f>
        <v/>
      </c>
      <c r="M868" s="20" t="str">
        <f>IF(A868="","",IF(L868&lt;8,"calibracion","validacion"))</f>
        <v/>
      </c>
      <c r="N868" s="20" t="s">
        <v>826</v>
      </c>
    </row>
    <row r="869" spans="12:14" hidden="1" x14ac:dyDescent="0.25">
      <c r="L869" s="20" t="str">
        <f ca="1">IF(A869="","",RANDBETWEEN(1,10))</f>
        <v/>
      </c>
      <c r="M869" s="20" t="str">
        <f>IF(A869="","",IF(L869&lt;8,"calibracion","validacion"))</f>
        <v/>
      </c>
      <c r="N869" s="20" t="s">
        <v>826</v>
      </c>
    </row>
    <row r="870" spans="12:14" hidden="1" x14ac:dyDescent="0.25">
      <c r="L870" s="20" t="str">
        <f ca="1">IF(A870="","",RANDBETWEEN(1,10))</f>
        <v/>
      </c>
      <c r="M870" s="20" t="str">
        <f>IF(A870="","",IF(L870&lt;8,"calibracion","validacion"))</f>
        <v/>
      </c>
      <c r="N870" s="20" t="s">
        <v>826</v>
      </c>
    </row>
    <row r="871" spans="12:14" hidden="1" x14ac:dyDescent="0.25">
      <c r="L871" s="20" t="str">
        <f ca="1">IF(A871="","",RANDBETWEEN(1,10))</f>
        <v/>
      </c>
      <c r="M871" s="20" t="str">
        <f>IF(A871="","",IF(L871&lt;8,"calibracion","validacion"))</f>
        <v/>
      </c>
      <c r="N871" s="20" t="s">
        <v>826</v>
      </c>
    </row>
    <row r="872" spans="12:14" hidden="1" x14ac:dyDescent="0.25">
      <c r="L872" s="20" t="str">
        <f ca="1">IF(A872="","",RANDBETWEEN(1,10))</f>
        <v/>
      </c>
      <c r="M872" s="20" t="str">
        <f>IF(A872="","",IF(L872&lt;8,"calibracion","validacion"))</f>
        <v/>
      </c>
      <c r="N872" s="20" t="s">
        <v>826</v>
      </c>
    </row>
    <row r="873" spans="12:14" hidden="1" x14ac:dyDescent="0.25">
      <c r="L873" s="20" t="str">
        <f ca="1">IF(A873="","",RANDBETWEEN(1,10))</f>
        <v/>
      </c>
      <c r="M873" s="20" t="str">
        <f>IF(A873="","",IF(L873&lt;8,"calibracion","validacion"))</f>
        <v/>
      </c>
      <c r="N873" s="20" t="s">
        <v>826</v>
      </c>
    </row>
    <row r="874" spans="12:14" hidden="1" x14ac:dyDescent="0.25">
      <c r="L874" s="20" t="str">
        <f ca="1">IF(A874="","",RANDBETWEEN(1,10))</f>
        <v/>
      </c>
      <c r="M874" s="20" t="str">
        <f>IF(A874="","",IF(L874&lt;8,"calibracion","validacion"))</f>
        <v/>
      </c>
      <c r="N874" s="20" t="s">
        <v>826</v>
      </c>
    </row>
    <row r="875" spans="12:14" hidden="1" x14ac:dyDescent="0.25">
      <c r="L875" s="20" t="str">
        <f ca="1">IF(A875="","",RANDBETWEEN(1,10))</f>
        <v/>
      </c>
      <c r="M875" s="20" t="str">
        <f>IF(A875="","",IF(L875&lt;8,"calibracion","validacion"))</f>
        <v/>
      </c>
      <c r="N875" s="20" t="s">
        <v>826</v>
      </c>
    </row>
    <row r="876" spans="12:14" hidden="1" x14ac:dyDescent="0.25">
      <c r="L876" s="20" t="str">
        <f ca="1">IF(A876="","",RANDBETWEEN(1,10))</f>
        <v/>
      </c>
      <c r="M876" s="20" t="str">
        <f>IF(A876="","",IF(L876&lt;8,"calibracion","validacion"))</f>
        <v/>
      </c>
      <c r="N876" s="20" t="s">
        <v>826</v>
      </c>
    </row>
    <row r="877" spans="12:14" hidden="1" x14ac:dyDescent="0.25">
      <c r="L877" s="20" t="str">
        <f ca="1">IF(A877="","",RANDBETWEEN(1,10))</f>
        <v/>
      </c>
      <c r="M877" s="20" t="str">
        <f>IF(A877="","",IF(L877&lt;8,"calibracion","validacion"))</f>
        <v/>
      </c>
      <c r="N877" s="20" t="s">
        <v>826</v>
      </c>
    </row>
    <row r="878" spans="12:14" hidden="1" x14ac:dyDescent="0.25">
      <c r="L878" s="20" t="str">
        <f ca="1">IF(A878="","",RANDBETWEEN(1,10))</f>
        <v/>
      </c>
      <c r="M878" s="20" t="str">
        <f>IF(A878="","",IF(L878&lt;8,"calibracion","validacion"))</f>
        <v/>
      </c>
      <c r="N878" s="20" t="s">
        <v>826</v>
      </c>
    </row>
    <row r="879" spans="12:14" hidden="1" x14ac:dyDescent="0.25">
      <c r="L879" s="20" t="str">
        <f ca="1">IF(A879="","",RANDBETWEEN(1,10))</f>
        <v/>
      </c>
      <c r="M879" s="20" t="str">
        <f>IF(A879="","",IF(L879&lt;8,"calibracion","validacion"))</f>
        <v/>
      </c>
      <c r="N879" s="20" t="s">
        <v>826</v>
      </c>
    </row>
    <row r="880" spans="12:14" hidden="1" x14ac:dyDescent="0.25">
      <c r="L880" s="20" t="str">
        <f ca="1">IF(A880="","",RANDBETWEEN(1,10))</f>
        <v/>
      </c>
      <c r="M880" s="20" t="str">
        <f>IF(A880="","",IF(L880&lt;8,"calibracion","validacion"))</f>
        <v/>
      </c>
      <c r="N880" s="20" t="s">
        <v>826</v>
      </c>
    </row>
    <row r="881" spans="12:14" hidden="1" x14ac:dyDescent="0.25">
      <c r="L881" s="20" t="str">
        <f ca="1">IF(A881="","",RANDBETWEEN(1,10))</f>
        <v/>
      </c>
      <c r="M881" s="20" t="str">
        <f>IF(A881="","",IF(L881&lt;8,"calibracion","validacion"))</f>
        <v/>
      </c>
      <c r="N881" s="20" t="s">
        <v>826</v>
      </c>
    </row>
    <row r="882" spans="12:14" hidden="1" x14ac:dyDescent="0.25">
      <c r="L882" s="20" t="str">
        <f ca="1">IF(A882="","",RANDBETWEEN(1,10))</f>
        <v/>
      </c>
      <c r="M882" s="20" t="str">
        <f>IF(A882="","",IF(L882&lt;8,"calibracion","validacion"))</f>
        <v/>
      </c>
      <c r="N882" s="20" t="s">
        <v>826</v>
      </c>
    </row>
    <row r="883" spans="12:14" hidden="1" x14ac:dyDescent="0.25">
      <c r="L883" s="20" t="str">
        <f ca="1">IF(A883="","",RANDBETWEEN(1,10))</f>
        <v/>
      </c>
      <c r="M883" s="20" t="str">
        <f>IF(A883="","",IF(L883&lt;8,"calibracion","validacion"))</f>
        <v/>
      </c>
      <c r="N883" s="20" t="s">
        <v>826</v>
      </c>
    </row>
    <row r="884" spans="12:14" hidden="1" x14ac:dyDescent="0.25">
      <c r="L884" s="20" t="str">
        <f ca="1">IF(A884="","",RANDBETWEEN(1,10))</f>
        <v/>
      </c>
      <c r="M884" s="20" t="str">
        <f>IF(A884="","",IF(L884&lt;8,"calibracion","validacion"))</f>
        <v/>
      </c>
      <c r="N884" s="20" t="s">
        <v>826</v>
      </c>
    </row>
    <row r="885" spans="12:14" hidden="1" x14ac:dyDescent="0.25">
      <c r="L885" s="20" t="str">
        <f ca="1">IF(A885="","",RANDBETWEEN(1,10))</f>
        <v/>
      </c>
      <c r="M885" s="20" t="str">
        <f>IF(A885="","",IF(L885&lt;8,"calibracion","validacion"))</f>
        <v/>
      </c>
      <c r="N885" s="20" t="s">
        <v>826</v>
      </c>
    </row>
    <row r="886" spans="12:14" hidden="1" x14ac:dyDescent="0.25">
      <c r="L886" s="20" t="str">
        <f ca="1">IF(A886="","",RANDBETWEEN(1,10))</f>
        <v/>
      </c>
      <c r="M886" s="20" t="str">
        <f>IF(A886="","",IF(L886&lt;8,"calibracion","validacion"))</f>
        <v/>
      </c>
      <c r="N886" s="20" t="s">
        <v>826</v>
      </c>
    </row>
    <row r="887" spans="12:14" hidden="1" x14ac:dyDescent="0.25">
      <c r="L887" s="20" t="str">
        <f ca="1">IF(A887="","",RANDBETWEEN(1,10))</f>
        <v/>
      </c>
      <c r="M887" s="20" t="str">
        <f>IF(A887="","",IF(L887&lt;8,"calibracion","validacion"))</f>
        <v/>
      </c>
      <c r="N887" s="20" t="s">
        <v>826</v>
      </c>
    </row>
    <row r="888" spans="12:14" hidden="1" x14ac:dyDescent="0.25">
      <c r="L888" s="20" t="str">
        <f ca="1">IF(A888="","",RANDBETWEEN(1,10))</f>
        <v/>
      </c>
      <c r="M888" s="20" t="str">
        <f>IF(A888="","",IF(L888&lt;8,"calibracion","validacion"))</f>
        <v/>
      </c>
      <c r="N888" s="20" t="s">
        <v>826</v>
      </c>
    </row>
    <row r="889" spans="12:14" hidden="1" x14ac:dyDescent="0.25">
      <c r="L889" s="20" t="str">
        <f ca="1">IF(A889="","",RANDBETWEEN(1,10))</f>
        <v/>
      </c>
      <c r="M889" s="20" t="str">
        <f>IF(A889="","",IF(L889&lt;8,"calibracion","validacion"))</f>
        <v/>
      </c>
      <c r="N889" s="20" t="s">
        <v>826</v>
      </c>
    </row>
    <row r="890" spans="12:14" hidden="1" x14ac:dyDescent="0.25">
      <c r="L890" s="20" t="str">
        <f ca="1">IF(A890="","",RANDBETWEEN(1,10))</f>
        <v/>
      </c>
      <c r="M890" s="20" t="str">
        <f>IF(A890="","",IF(L890&lt;8,"calibracion","validacion"))</f>
        <v/>
      </c>
      <c r="N890" s="20" t="s">
        <v>826</v>
      </c>
    </row>
    <row r="891" spans="12:14" hidden="1" x14ac:dyDescent="0.25">
      <c r="L891" s="20" t="str">
        <f ca="1">IF(A891="","",RANDBETWEEN(1,10))</f>
        <v/>
      </c>
      <c r="M891" s="20" t="str">
        <f>IF(A891="","",IF(L891&lt;8,"calibracion","validacion"))</f>
        <v/>
      </c>
      <c r="N891" s="20" t="s">
        <v>826</v>
      </c>
    </row>
    <row r="892" spans="12:14" hidden="1" x14ac:dyDescent="0.25">
      <c r="L892" s="20" t="str">
        <f ca="1">IF(A892="","",RANDBETWEEN(1,10))</f>
        <v/>
      </c>
      <c r="M892" s="20" t="str">
        <f>IF(A892="","",IF(L892&lt;8,"calibracion","validacion"))</f>
        <v/>
      </c>
      <c r="N892" s="20" t="s">
        <v>826</v>
      </c>
    </row>
    <row r="893" spans="12:14" hidden="1" x14ac:dyDescent="0.25">
      <c r="L893" s="20" t="str">
        <f ca="1">IF(A893="","",RANDBETWEEN(1,10))</f>
        <v/>
      </c>
      <c r="M893" s="20" t="str">
        <f>IF(A893="","",IF(L893&lt;8,"calibracion","validacion"))</f>
        <v/>
      </c>
      <c r="N893" s="20" t="s">
        <v>826</v>
      </c>
    </row>
    <row r="894" spans="12:14" hidden="1" x14ac:dyDescent="0.25">
      <c r="L894" s="20" t="str">
        <f ca="1">IF(A894="","",RANDBETWEEN(1,10))</f>
        <v/>
      </c>
      <c r="M894" s="20" t="str">
        <f>IF(A894="","",IF(L894&lt;8,"calibracion","validacion"))</f>
        <v/>
      </c>
      <c r="N894" s="20" t="s">
        <v>826</v>
      </c>
    </row>
    <row r="895" spans="12:14" hidden="1" x14ac:dyDescent="0.25">
      <c r="L895" s="20" t="str">
        <f ca="1">IF(A895="","",RANDBETWEEN(1,10))</f>
        <v/>
      </c>
      <c r="M895" s="20" t="str">
        <f>IF(A895="","",IF(L895&lt;8,"calibracion","validacion"))</f>
        <v/>
      </c>
      <c r="N895" s="20" t="s">
        <v>826</v>
      </c>
    </row>
    <row r="896" spans="12:14" hidden="1" x14ac:dyDescent="0.25">
      <c r="L896" s="20" t="str">
        <f ca="1">IF(A896="","",RANDBETWEEN(1,10))</f>
        <v/>
      </c>
      <c r="M896" s="20" t="str">
        <f>IF(A896="","",IF(L896&lt;8,"calibracion","validacion"))</f>
        <v/>
      </c>
      <c r="N896" s="20" t="s">
        <v>826</v>
      </c>
    </row>
    <row r="897" spans="12:14" hidden="1" x14ac:dyDescent="0.25">
      <c r="L897" s="20" t="str">
        <f ca="1">IF(A897="","",RANDBETWEEN(1,10))</f>
        <v/>
      </c>
      <c r="M897" s="20" t="str">
        <f>IF(A897="","",IF(L897&lt;8,"calibracion","validacion"))</f>
        <v/>
      </c>
      <c r="N897" s="20" t="s">
        <v>826</v>
      </c>
    </row>
    <row r="898" spans="12:14" hidden="1" x14ac:dyDescent="0.25">
      <c r="L898" s="20" t="str">
        <f ca="1">IF(A898="","",RANDBETWEEN(1,10))</f>
        <v/>
      </c>
      <c r="M898" s="20" t="str">
        <f>IF(A898="","",IF(L898&lt;8,"calibracion","validacion"))</f>
        <v/>
      </c>
      <c r="N898" s="20" t="s">
        <v>826</v>
      </c>
    </row>
    <row r="899" spans="12:14" hidden="1" x14ac:dyDescent="0.25">
      <c r="L899" s="20" t="str">
        <f ca="1">IF(A899="","",RANDBETWEEN(1,10))</f>
        <v/>
      </c>
      <c r="M899" s="20" t="str">
        <f>IF(A899="","",IF(L899&lt;8,"calibracion","validacion"))</f>
        <v/>
      </c>
      <c r="N899" s="20" t="s">
        <v>826</v>
      </c>
    </row>
    <row r="900" spans="12:14" hidden="1" x14ac:dyDescent="0.25">
      <c r="L900" s="20" t="str">
        <f ca="1">IF(A900="","",RANDBETWEEN(1,10))</f>
        <v/>
      </c>
      <c r="M900" s="20" t="str">
        <f>IF(A900="","",IF(L900&lt;8,"calibracion","validacion"))</f>
        <v/>
      </c>
      <c r="N900" s="20" t="s">
        <v>826</v>
      </c>
    </row>
    <row r="901" spans="12:14" hidden="1" x14ac:dyDescent="0.25">
      <c r="L901" s="20" t="str">
        <f ca="1">IF(A901="","",RANDBETWEEN(1,10))</f>
        <v/>
      </c>
      <c r="M901" s="20" t="str">
        <f>IF(A901="","",IF(L901&lt;8,"calibracion","validacion"))</f>
        <v/>
      </c>
      <c r="N901" s="20" t="s">
        <v>826</v>
      </c>
    </row>
    <row r="902" spans="12:14" hidden="1" x14ac:dyDescent="0.25">
      <c r="L902" s="20" t="str">
        <f ca="1">IF(A902="","",RANDBETWEEN(1,10))</f>
        <v/>
      </c>
      <c r="M902" s="20" t="str">
        <f>IF(A902="","",IF(L902&lt;8,"calibracion","validacion"))</f>
        <v/>
      </c>
      <c r="N902" s="20" t="s">
        <v>826</v>
      </c>
    </row>
    <row r="903" spans="12:14" hidden="1" x14ac:dyDescent="0.25">
      <c r="L903" s="20" t="str">
        <f ca="1">IF(A903="","",RANDBETWEEN(1,10))</f>
        <v/>
      </c>
      <c r="M903" s="20" t="str">
        <f>IF(A903="","",IF(L903&lt;8,"calibracion","validacion"))</f>
        <v/>
      </c>
      <c r="N903" s="20" t="s">
        <v>826</v>
      </c>
    </row>
    <row r="904" spans="12:14" hidden="1" x14ac:dyDescent="0.25">
      <c r="L904" s="20" t="str">
        <f ca="1">IF(A904="","",RANDBETWEEN(1,10))</f>
        <v/>
      </c>
      <c r="M904" s="20" t="str">
        <f>IF(A904="","",IF(L904&lt;8,"calibracion","validacion"))</f>
        <v/>
      </c>
      <c r="N904" s="20" t="s">
        <v>826</v>
      </c>
    </row>
    <row r="905" spans="12:14" hidden="1" x14ac:dyDescent="0.25">
      <c r="L905" s="20" t="str">
        <f ca="1">IF(A905="","",RANDBETWEEN(1,10))</f>
        <v/>
      </c>
      <c r="M905" s="20" t="str">
        <f>IF(A905="","",IF(L905&lt;8,"calibracion","validacion"))</f>
        <v/>
      </c>
      <c r="N905" s="20" t="s">
        <v>826</v>
      </c>
    </row>
    <row r="906" spans="12:14" hidden="1" x14ac:dyDescent="0.25">
      <c r="L906" s="20" t="str">
        <f ca="1">IF(A906="","",RANDBETWEEN(1,10))</f>
        <v/>
      </c>
      <c r="M906" s="20" t="str">
        <f>IF(A906="","",IF(L906&lt;8,"calibracion","validacion"))</f>
        <v/>
      </c>
      <c r="N906" s="20" t="s">
        <v>826</v>
      </c>
    </row>
    <row r="907" spans="12:14" hidden="1" x14ac:dyDescent="0.25">
      <c r="L907" s="20" t="str">
        <f ca="1">IF(A907="","",RANDBETWEEN(1,10))</f>
        <v/>
      </c>
      <c r="M907" s="20" t="str">
        <f>IF(A907="","",IF(L907&lt;8,"calibracion","validacion"))</f>
        <v/>
      </c>
      <c r="N907" s="20" t="s">
        <v>826</v>
      </c>
    </row>
    <row r="908" spans="12:14" hidden="1" x14ac:dyDescent="0.25">
      <c r="L908" s="20" t="str">
        <f ca="1">IF(A908="","",RANDBETWEEN(1,10))</f>
        <v/>
      </c>
      <c r="M908" s="20" t="str">
        <f>IF(A908="","",IF(L908&lt;8,"calibracion","validacion"))</f>
        <v/>
      </c>
      <c r="N908" s="20" t="s">
        <v>826</v>
      </c>
    </row>
    <row r="909" spans="12:14" hidden="1" x14ac:dyDescent="0.25">
      <c r="L909" s="20" t="str">
        <f ca="1">IF(A909="","",RANDBETWEEN(1,10))</f>
        <v/>
      </c>
      <c r="M909" s="20" t="str">
        <f>IF(A909="","",IF(L909&lt;8,"calibracion","validacion"))</f>
        <v/>
      </c>
      <c r="N909" s="20" t="s">
        <v>826</v>
      </c>
    </row>
    <row r="910" spans="12:14" hidden="1" x14ac:dyDescent="0.25">
      <c r="L910" s="20" t="str">
        <f ca="1">IF(A910="","",RANDBETWEEN(1,10))</f>
        <v/>
      </c>
      <c r="M910" s="20" t="str">
        <f>IF(A910="","",IF(L910&lt;8,"calibracion","validacion"))</f>
        <v/>
      </c>
      <c r="N910" s="20" t="s">
        <v>826</v>
      </c>
    </row>
    <row r="911" spans="12:14" hidden="1" x14ac:dyDescent="0.25">
      <c r="L911" s="20" t="str">
        <f ca="1">IF(A911="","",RANDBETWEEN(1,10))</f>
        <v/>
      </c>
      <c r="M911" s="20" t="str">
        <f>IF(A911="","",IF(L911&lt;8,"calibracion","validacion"))</f>
        <v/>
      </c>
      <c r="N911" s="20" t="s">
        <v>826</v>
      </c>
    </row>
    <row r="912" spans="12:14" hidden="1" x14ac:dyDescent="0.25">
      <c r="L912" s="20" t="str">
        <f ca="1">IF(A912="","",RANDBETWEEN(1,10))</f>
        <v/>
      </c>
      <c r="M912" s="20" t="str">
        <f>IF(A912="","",IF(L912&lt;8,"calibracion","validacion"))</f>
        <v/>
      </c>
      <c r="N912" s="20" t="s">
        <v>826</v>
      </c>
    </row>
    <row r="913" spans="12:14" hidden="1" x14ac:dyDescent="0.25">
      <c r="L913" s="20" t="str">
        <f ca="1">IF(A913="","",RANDBETWEEN(1,10))</f>
        <v/>
      </c>
      <c r="M913" s="20" t="str">
        <f>IF(A913="","",IF(L913&lt;8,"calibracion","validacion"))</f>
        <v/>
      </c>
      <c r="N913" s="20" t="s">
        <v>826</v>
      </c>
    </row>
    <row r="914" spans="12:14" hidden="1" x14ac:dyDescent="0.25">
      <c r="L914" s="20" t="str">
        <f ca="1">IF(A914="","",RANDBETWEEN(1,10))</f>
        <v/>
      </c>
      <c r="M914" s="20" t="str">
        <f>IF(A914="","",IF(L914&lt;8,"calibracion","validacion"))</f>
        <v/>
      </c>
      <c r="N914" s="20" t="s">
        <v>826</v>
      </c>
    </row>
    <row r="915" spans="12:14" hidden="1" x14ac:dyDescent="0.25">
      <c r="L915" s="20" t="str">
        <f ca="1">IF(A915="","",RANDBETWEEN(1,10))</f>
        <v/>
      </c>
      <c r="M915" s="20" t="str">
        <f>IF(A915="","",IF(L915&lt;8,"calibracion","validacion"))</f>
        <v/>
      </c>
      <c r="N915" s="20" t="s">
        <v>826</v>
      </c>
    </row>
    <row r="916" spans="12:14" hidden="1" x14ac:dyDescent="0.25">
      <c r="L916" s="20" t="str">
        <f ca="1">IF(A916="","",RANDBETWEEN(1,10))</f>
        <v/>
      </c>
      <c r="M916" s="20" t="str">
        <f>IF(A916="","",IF(L916&lt;8,"calibracion","validacion"))</f>
        <v/>
      </c>
      <c r="N916" s="20" t="s">
        <v>826</v>
      </c>
    </row>
    <row r="917" spans="12:14" hidden="1" x14ac:dyDescent="0.25">
      <c r="L917" s="20" t="str">
        <f ca="1">IF(A917="","",RANDBETWEEN(1,10))</f>
        <v/>
      </c>
      <c r="M917" s="20" t="str">
        <f>IF(A917="","",IF(L917&lt;8,"calibracion","validacion"))</f>
        <v/>
      </c>
      <c r="N917" s="20" t="s">
        <v>826</v>
      </c>
    </row>
    <row r="918" spans="12:14" hidden="1" x14ac:dyDescent="0.25">
      <c r="L918" s="20" t="str">
        <f ca="1">IF(A918="","",RANDBETWEEN(1,10))</f>
        <v/>
      </c>
      <c r="M918" s="20" t="str">
        <f>IF(A918="","",IF(L918&lt;8,"calibracion","validacion"))</f>
        <v/>
      </c>
      <c r="N918" s="20" t="s">
        <v>826</v>
      </c>
    </row>
    <row r="919" spans="12:14" hidden="1" x14ac:dyDescent="0.25">
      <c r="L919" s="20" t="str">
        <f ca="1">IF(A919="","",RANDBETWEEN(1,10))</f>
        <v/>
      </c>
      <c r="M919" s="20" t="str">
        <f>IF(A919="","",IF(L919&lt;8,"calibracion","validacion"))</f>
        <v/>
      </c>
      <c r="N919" s="20" t="s">
        <v>826</v>
      </c>
    </row>
    <row r="920" spans="12:14" hidden="1" x14ac:dyDescent="0.25">
      <c r="L920" s="20" t="str">
        <f ca="1">IF(A920="","",RANDBETWEEN(1,10))</f>
        <v/>
      </c>
      <c r="M920" s="20" t="str">
        <f>IF(A920="","",IF(L920&lt;8,"calibracion","validacion"))</f>
        <v/>
      </c>
      <c r="N920" s="20" t="s">
        <v>826</v>
      </c>
    </row>
    <row r="921" spans="12:14" hidden="1" x14ac:dyDescent="0.25">
      <c r="L921" s="20" t="str">
        <f ca="1">IF(A921="","",RANDBETWEEN(1,10))</f>
        <v/>
      </c>
      <c r="M921" s="20" t="str">
        <f>IF(A921="","",IF(L921&lt;8,"calibracion","validacion"))</f>
        <v/>
      </c>
      <c r="N921" s="20" t="s">
        <v>826</v>
      </c>
    </row>
    <row r="922" spans="12:14" hidden="1" x14ac:dyDescent="0.25">
      <c r="L922" s="20" t="str">
        <f ca="1">IF(A922="","",RANDBETWEEN(1,10))</f>
        <v/>
      </c>
      <c r="M922" s="20" t="str">
        <f>IF(A922="","",IF(L922&lt;8,"calibracion","validacion"))</f>
        <v/>
      </c>
      <c r="N922" s="20" t="s">
        <v>826</v>
      </c>
    </row>
    <row r="923" spans="12:14" hidden="1" x14ac:dyDescent="0.25">
      <c r="L923" s="20" t="str">
        <f ca="1">IF(A923="","",RANDBETWEEN(1,10))</f>
        <v/>
      </c>
      <c r="M923" s="20" t="str">
        <f>IF(A923="","",IF(L923&lt;8,"calibracion","validacion"))</f>
        <v/>
      </c>
      <c r="N923" s="20" t="s">
        <v>826</v>
      </c>
    </row>
    <row r="924" spans="12:14" hidden="1" x14ac:dyDescent="0.25">
      <c r="L924" s="20" t="str">
        <f ca="1">IF(A924="","",RANDBETWEEN(1,10))</f>
        <v/>
      </c>
      <c r="M924" s="20" t="str">
        <f>IF(A924="","",IF(L924&lt;8,"calibracion","validacion"))</f>
        <v/>
      </c>
      <c r="N924" s="20" t="s">
        <v>826</v>
      </c>
    </row>
    <row r="925" spans="12:14" hidden="1" x14ac:dyDescent="0.25">
      <c r="L925" s="20" t="str">
        <f ca="1">IF(A925="","",RANDBETWEEN(1,10))</f>
        <v/>
      </c>
      <c r="M925" s="20" t="str">
        <f>IF(A925="","",IF(L925&lt;8,"calibracion","validacion"))</f>
        <v/>
      </c>
      <c r="N925" s="20" t="s">
        <v>826</v>
      </c>
    </row>
    <row r="926" spans="12:14" hidden="1" x14ac:dyDescent="0.25">
      <c r="L926" s="20" t="str">
        <f ca="1">IF(A926="","",RANDBETWEEN(1,10))</f>
        <v/>
      </c>
      <c r="M926" s="20" t="str">
        <f>IF(A926="","",IF(L926&lt;8,"calibracion","validacion"))</f>
        <v/>
      </c>
      <c r="N926" s="20" t="s">
        <v>826</v>
      </c>
    </row>
    <row r="927" spans="12:14" hidden="1" x14ac:dyDescent="0.25">
      <c r="L927" s="20" t="str">
        <f ca="1">IF(A927="","",RANDBETWEEN(1,10))</f>
        <v/>
      </c>
      <c r="M927" s="20" t="str">
        <f>IF(A927="","",IF(L927&lt;8,"calibracion","validacion"))</f>
        <v/>
      </c>
      <c r="N927" s="20" t="s">
        <v>826</v>
      </c>
    </row>
    <row r="928" spans="12:14" hidden="1" x14ac:dyDescent="0.25">
      <c r="L928" s="20" t="str">
        <f ca="1">IF(A928="","",RANDBETWEEN(1,10))</f>
        <v/>
      </c>
      <c r="M928" s="20" t="str">
        <f>IF(A928="","",IF(L928&lt;8,"calibracion","validacion"))</f>
        <v/>
      </c>
      <c r="N928" s="20" t="s">
        <v>826</v>
      </c>
    </row>
    <row r="929" spans="12:14" hidden="1" x14ac:dyDescent="0.25">
      <c r="L929" s="20" t="str">
        <f ca="1">IF(A929="","",RANDBETWEEN(1,10))</f>
        <v/>
      </c>
      <c r="M929" s="20" t="str">
        <f>IF(A929="","",IF(L929&lt;8,"calibracion","validacion"))</f>
        <v/>
      </c>
      <c r="N929" s="20" t="s">
        <v>826</v>
      </c>
    </row>
    <row r="930" spans="12:14" hidden="1" x14ac:dyDescent="0.25">
      <c r="L930" s="20" t="str">
        <f ca="1">IF(A930="","",RANDBETWEEN(1,10))</f>
        <v/>
      </c>
      <c r="M930" s="20" t="str">
        <f>IF(A930="","",IF(L930&lt;8,"calibracion","validacion"))</f>
        <v/>
      </c>
      <c r="N930" s="20" t="s">
        <v>826</v>
      </c>
    </row>
    <row r="931" spans="12:14" hidden="1" x14ac:dyDescent="0.25">
      <c r="L931" s="20" t="str">
        <f ca="1">IF(A931="","",RANDBETWEEN(1,10))</f>
        <v/>
      </c>
      <c r="M931" s="20" t="str">
        <f>IF(A931="","",IF(L931&lt;8,"calibracion","validacion"))</f>
        <v/>
      </c>
      <c r="N931" s="20" t="s">
        <v>826</v>
      </c>
    </row>
    <row r="932" spans="12:14" hidden="1" x14ac:dyDescent="0.25">
      <c r="L932" s="20" t="str">
        <f ca="1">IF(A932="","",RANDBETWEEN(1,10))</f>
        <v/>
      </c>
      <c r="M932" s="20" t="str">
        <f>IF(A932="","",IF(L932&lt;8,"calibracion","validacion"))</f>
        <v/>
      </c>
      <c r="N932" s="20" t="s">
        <v>826</v>
      </c>
    </row>
    <row r="933" spans="12:14" hidden="1" x14ac:dyDescent="0.25">
      <c r="L933" s="20" t="str">
        <f ca="1">IF(A933="","",RANDBETWEEN(1,10))</f>
        <v/>
      </c>
      <c r="M933" s="20" t="str">
        <f>IF(A933="","",IF(L933&lt;8,"calibracion","validacion"))</f>
        <v/>
      </c>
      <c r="N933" s="20" t="s">
        <v>826</v>
      </c>
    </row>
    <row r="934" spans="12:14" hidden="1" x14ac:dyDescent="0.25">
      <c r="L934" s="20" t="str">
        <f ca="1">IF(A934="","",RANDBETWEEN(1,10))</f>
        <v/>
      </c>
      <c r="M934" s="20" t="str">
        <f>IF(A934="","",IF(L934&lt;8,"calibracion","validacion"))</f>
        <v/>
      </c>
      <c r="N934" s="20" t="s">
        <v>826</v>
      </c>
    </row>
    <row r="935" spans="12:14" hidden="1" x14ac:dyDescent="0.25">
      <c r="L935" s="20" t="str">
        <f ca="1">IF(A935="","",RANDBETWEEN(1,10))</f>
        <v/>
      </c>
      <c r="M935" s="20" t="str">
        <f>IF(A935="","",IF(L935&lt;8,"calibracion","validacion"))</f>
        <v/>
      </c>
      <c r="N935" s="20" t="s">
        <v>826</v>
      </c>
    </row>
    <row r="936" spans="12:14" hidden="1" x14ac:dyDescent="0.25">
      <c r="L936" s="20" t="str">
        <f ca="1">IF(A936="","",RANDBETWEEN(1,10))</f>
        <v/>
      </c>
      <c r="M936" s="20" t="str">
        <f>IF(A936="","",IF(L936&lt;8,"calibracion","validacion"))</f>
        <v/>
      </c>
      <c r="N936" s="20" t="s">
        <v>826</v>
      </c>
    </row>
    <row r="937" spans="12:14" hidden="1" x14ac:dyDescent="0.25">
      <c r="L937" s="20" t="str">
        <f ca="1">IF(A937="","",RANDBETWEEN(1,10))</f>
        <v/>
      </c>
      <c r="M937" s="20" t="str">
        <f>IF(A937="","",IF(L937&lt;8,"calibracion","validacion"))</f>
        <v/>
      </c>
      <c r="N937" s="20" t="s">
        <v>826</v>
      </c>
    </row>
    <row r="938" spans="12:14" hidden="1" x14ac:dyDescent="0.25">
      <c r="L938" s="20" t="str">
        <f ca="1">IF(A938="","",RANDBETWEEN(1,10))</f>
        <v/>
      </c>
      <c r="M938" s="20" t="str">
        <f>IF(A938="","",IF(L938&lt;8,"calibracion","validacion"))</f>
        <v/>
      </c>
      <c r="N938" s="20" t="s">
        <v>826</v>
      </c>
    </row>
    <row r="939" spans="12:14" hidden="1" x14ac:dyDescent="0.25">
      <c r="L939" s="20" t="str">
        <f ca="1">IF(A939="","",RANDBETWEEN(1,10))</f>
        <v/>
      </c>
      <c r="M939" s="20" t="str">
        <f>IF(A939="","",IF(L939&lt;8,"calibracion","validacion"))</f>
        <v/>
      </c>
      <c r="N939" s="20" t="s">
        <v>826</v>
      </c>
    </row>
    <row r="940" spans="12:14" hidden="1" x14ac:dyDescent="0.25">
      <c r="L940" s="20" t="str">
        <f ca="1">IF(A940="","",RANDBETWEEN(1,10))</f>
        <v/>
      </c>
      <c r="M940" s="20" t="str">
        <f>IF(A940="","",IF(L940&lt;8,"calibracion","validacion"))</f>
        <v/>
      </c>
      <c r="N940" s="20" t="s">
        <v>826</v>
      </c>
    </row>
    <row r="941" spans="12:14" hidden="1" x14ac:dyDescent="0.25">
      <c r="L941" s="20" t="str">
        <f ca="1">IF(A941="","",RANDBETWEEN(1,10))</f>
        <v/>
      </c>
      <c r="M941" s="20" t="str">
        <f>IF(A941="","",IF(L941&lt;8,"calibracion","validacion"))</f>
        <v/>
      </c>
      <c r="N941" s="20" t="s">
        <v>826</v>
      </c>
    </row>
    <row r="942" spans="12:14" hidden="1" x14ac:dyDescent="0.25">
      <c r="L942" s="20" t="str">
        <f ca="1">IF(A942="","",RANDBETWEEN(1,10))</f>
        <v/>
      </c>
      <c r="M942" s="20" t="str">
        <f>IF(A942="","",IF(L942&lt;8,"calibracion","validacion"))</f>
        <v/>
      </c>
      <c r="N942" s="20" t="s">
        <v>826</v>
      </c>
    </row>
    <row r="943" spans="12:14" hidden="1" x14ac:dyDescent="0.25">
      <c r="L943" s="20" t="str">
        <f ca="1">IF(A943="","",RANDBETWEEN(1,10))</f>
        <v/>
      </c>
      <c r="M943" s="20" t="str">
        <f>IF(A943="","",IF(L943&lt;8,"calibracion","validacion"))</f>
        <v/>
      </c>
      <c r="N943" s="20" t="s">
        <v>826</v>
      </c>
    </row>
    <row r="944" spans="12:14" hidden="1" x14ac:dyDescent="0.25">
      <c r="L944" s="20" t="str">
        <f ca="1">IF(A944="","",RANDBETWEEN(1,10))</f>
        <v/>
      </c>
      <c r="M944" s="20" t="str">
        <f>IF(A944="","",IF(L944&lt;8,"calibracion","validacion"))</f>
        <v/>
      </c>
      <c r="N944" s="20" t="s">
        <v>826</v>
      </c>
    </row>
    <row r="945" spans="12:14" hidden="1" x14ac:dyDescent="0.25">
      <c r="L945" s="20" t="str">
        <f ca="1">IF(A945="","",RANDBETWEEN(1,10))</f>
        <v/>
      </c>
      <c r="M945" s="20" t="str">
        <f>IF(A945="","",IF(L945&lt;8,"calibracion","validacion"))</f>
        <v/>
      </c>
      <c r="N945" s="20" t="s">
        <v>826</v>
      </c>
    </row>
    <row r="946" spans="12:14" hidden="1" x14ac:dyDescent="0.25">
      <c r="L946" s="20" t="str">
        <f ca="1">IF(A946="","",RANDBETWEEN(1,10))</f>
        <v/>
      </c>
      <c r="M946" s="20" t="str">
        <f>IF(A946="","",IF(L946&lt;8,"calibracion","validacion"))</f>
        <v/>
      </c>
      <c r="N946" s="20" t="s">
        <v>826</v>
      </c>
    </row>
    <row r="947" spans="12:14" hidden="1" x14ac:dyDescent="0.25">
      <c r="L947" s="20" t="str">
        <f ca="1">IF(A947="","",RANDBETWEEN(1,10))</f>
        <v/>
      </c>
      <c r="M947" s="20" t="str">
        <f>IF(A947="","",IF(L947&lt;8,"calibracion","validacion"))</f>
        <v/>
      </c>
      <c r="N947" s="20" t="s">
        <v>826</v>
      </c>
    </row>
    <row r="948" spans="12:14" hidden="1" x14ac:dyDescent="0.25">
      <c r="L948" s="20" t="str">
        <f ca="1">IF(A948="","",RANDBETWEEN(1,10))</f>
        <v/>
      </c>
      <c r="M948" s="20" t="str">
        <f>IF(A948="","",IF(L948&lt;8,"calibracion","validacion"))</f>
        <v/>
      </c>
      <c r="N948" s="20" t="s">
        <v>826</v>
      </c>
    </row>
    <row r="949" spans="12:14" hidden="1" x14ac:dyDescent="0.25">
      <c r="L949" s="20" t="str">
        <f ca="1">IF(A949="","",RANDBETWEEN(1,10))</f>
        <v/>
      </c>
      <c r="M949" s="20" t="str">
        <f>IF(A949="","",IF(L949&lt;8,"calibracion","validacion"))</f>
        <v/>
      </c>
      <c r="N949" s="20" t="s">
        <v>826</v>
      </c>
    </row>
    <row r="950" spans="12:14" hidden="1" x14ac:dyDescent="0.25">
      <c r="L950" s="20" t="str">
        <f ca="1">IF(A950="","",RANDBETWEEN(1,10))</f>
        <v/>
      </c>
      <c r="M950" s="20" t="str">
        <f>IF(A950="","",IF(L950&lt;8,"calibracion","validacion"))</f>
        <v/>
      </c>
      <c r="N950" s="20" t="s">
        <v>826</v>
      </c>
    </row>
    <row r="951" spans="12:14" hidden="1" x14ac:dyDescent="0.25">
      <c r="L951" s="20" t="str">
        <f ca="1">IF(A951="","",RANDBETWEEN(1,10))</f>
        <v/>
      </c>
      <c r="M951" s="20" t="str">
        <f>IF(A951="","",IF(L951&lt;8,"calibracion","validacion"))</f>
        <v/>
      </c>
      <c r="N951" s="20" t="s">
        <v>826</v>
      </c>
    </row>
    <row r="952" spans="12:14" hidden="1" x14ac:dyDescent="0.25">
      <c r="L952" s="20" t="str">
        <f ca="1">IF(A952="","",RANDBETWEEN(1,10))</f>
        <v/>
      </c>
      <c r="M952" s="20" t="str">
        <f>IF(A952="","",IF(L952&lt;8,"calibracion","validacion"))</f>
        <v/>
      </c>
      <c r="N952" s="20" t="s">
        <v>826</v>
      </c>
    </row>
    <row r="953" spans="12:14" hidden="1" x14ac:dyDescent="0.25">
      <c r="L953" s="20" t="str">
        <f ca="1">IF(A953="","",RANDBETWEEN(1,10))</f>
        <v/>
      </c>
      <c r="M953" s="20" t="str">
        <f>IF(A953="","",IF(L953&lt;8,"calibracion","validacion"))</f>
        <v/>
      </c>
      <c r="N953" s="20" t="s">
        <v>826</v>
      </c>
    </row>
    <row r="954" spans="12:14" hidden="1" x14ac:dyDescent="0.25">
      <c r="L954" s="20" t="str">
        <f ca="1">IF(A954="","",RANDBETWEEN(1,10))</f>
        <v/>
      </c>
      <c r="M954" s="20" t="str">
        <f>IF(A954="","",IF(L954&lt;8,"calibracion","validacion"))</f>
        <v/>
      </c>
      <c r="N954" s="20" t="s">
        <v>826</v>
      </c>
    </row>
    <row r="955" spans="12:14" hidden="1" x14ac:dyDescent="0.25">
      <c r="L955" s="20" t="str">
        <f ca="1">IF(A955="","",RANDBETWEEN(1,10))</f>
        <v/>
      </c>
      <c r="M955" s="20" t="str">
        <f>IF(A955="","",IF(L955&lt;8,"calibracion","validacion"))</f>
        <v/>
      </c>
      <c r="N955" s="20" t="s">
        <v>826</v>
      </c>
    </row>
    <row r="956" spans="12:14" hidden="1" x14ac:dyDescent="0.25">
      <c r="L956" s="20" t="str">
        <f ca="1">IF(A956="","",RANDBETWEEN(1,10))</f>
        <v/>
      </c>
      <c r="M956" s="20" t="str">
        <f>IF(A956="","",IF(L956&lt;8,"calibracion","validacion"))</f>
        <v/>
      </c>
      <c r="N956" s="20" t="s">
        <v>826</v>
      </c>
    </row>
    <row r="957" spans="12:14" hidden="1" x14ac:dyDescent="0.25">
      <c r="L957" s="20" t="str">
        <f ca="1">IF(A957="","",RANDBETWEEN(1,10))</f>
        <v/>
      </c>
      <c r="M957" s="20" t="str">
        <f>IF(A957="","",IF(L957&lt;8,"calibracion","validacion"))</f>
        <v/>
      </c>
      <c r="N957" s="20" t="s">
        <v>826</v>
      </c>
    </row>
    <row r="958" spans="12:14" hidden="1" x14ac:dyDescent="0.25">
      <c r="L958" s="20" t="str">
        <f ca="1">IF(A958="","",RANDBETWEEN(1,10))</f>
        <v/>
      </c>
      <c r="M958" s="20" t="str">
        <f>IF(A958="","",IF(L958&lt;8,"calibracion","validacion"))</f>
        <v/>
      </c>
      <c r="N958" s="20" t="s">
        <v>826</v>
      </c>
    </row>
    <row r="959" spans="12:14" hidden="1" x14ac:dyDescent="0.25">
      <c r="L959" s="20" t="str">
        <f ca="1">IF(A959="","",RANDBETWEEN(1,10))</f>
        <v/>
      </c>
      <c r="M959" s="20" t="str">
        <f>IF(A959="","",IF(L959&lt;8,"calibracion","validacion"))</f>
        <v/>
      </c>
      <c r="N959" s="20" t="s">
        <v>826</v>
      </c>
    </row>
    <row r="960" spans="12:14" hidden="1" x14ac:dyDescent="0.25">
      <c r="L960" s="20" t="str">
        <f ca="1">IF(A960="","",RANDBETWEEN(1,10))</f>
        <v/>
      </c>
      <c r="M960" s="20" t="str">
        <f>IF(A960="","",IF(L960&lt;8,"calibracion","validacion"))</f>
        <v/>
      </c>
      <c r="N960" s="20" t="s">
        <v>826</v>
      </c>
    </row>
    <row r="961" spans="12:14" hidden="1" x14ac:dyDescent="0.25">
      <c r="L961" s="20" t="str">
        <f ca="1">IF(A961="","",RANDBETWEEN(1,10))</f>
        <v/>
      </c>
      <c r="M961" s="20" t="str">
        <f>IF(A961="","",IF(L961&lt;8,"calibracion","validacion"))</f>
        <v/>
      </c>
      <c r="N961" s="20" t="s">
        <v>826</v>
      </c>
    </row>
    <row r="962" spans="12:14" hidden="1" x14ac:dyDescent="0.25">
      <c r="L962" s="20" t="str">
        <f ca="1">IF(A962="","",RANDBETWEEN(1,10))</f>
        <v/>
      </c>
      <c r="M962" s="20" t="str">
        <f>IF(A962="","",IF(L962&lt;8,"calibracion","validacion"))</f>
        <v/>
      </c>
      <c r="N962" s="20" t="s">
        <v>826</v>
      </c>
    </row>
    <row r="963" spans="12:14" hidden="1" x14ac:dyDescent="0.25">
      <c r="L963" s="20" t="str">
        <f ca="1">IF(A963="","",RANDBETWEEN(1,10))</f>
        <v/>
      </c>
      <c r="M963" s="20" t="str">
        <f>IF(A963="","",IF(L963&lt;8,"calibracion","validacion"))</f>
        <v/>
      </c>
      <c r="N963" s="20" t="s">
        <v>826</v>
      </c>
    </row>
    <row r="964" spans="12:14" hidden="1" x14ac:dyDescent="0.25">
      <c r="L964" s="20" t="str">
        <f ca="1">IF(A964="","",RANDBETWEEN(1,10))</f>
        <v/>
      </c>
      <c r="M964" s="20" t="str">
        <f>IF(A964="","",IF(L964&lt;8,"calibracion","validacion"))</f>
        <v/>
      </c>
      <c r="N964" s="20" t="s">
        <v>826</v>
      </c>
    </row>
    <row r="965" spans="12:14" hidden="1" x14ac:dyDescent="0.25">
      <c r="L965" s="20" t="str">
        <f ca="1">IF(A965="","",RANDBETWEEN(1,10))</f>
        <v/>
      </c>
      <c r="M965" s="20" t="str">
        <f>IF(A965="","",IF(L965&lt;8,"calibracion","validacion"))</f>
        <v/>
      </c>
      <c r="N965" s="20" t="s">
        <v>826</v>
      </c>
    </row>
    <row r="966" spans="12:14" hidden="1" x14ac:dyDescent="0.25">
      <c r="L966" s="20" t="str">
        <f ca="1">IF(A966="","",RANDBETWEEN(1,10))</f>
        <v/>
      </c>
      <c r="M966" s="20" t="str">
        <f>IF(A966="","",IF(L966&lt;8,"calibracion","validacion"))</f>
        <v/>
      </c>
      <c r="N966" s="20" t="s">
        <v>826</v>
      </c>
    </row>
    <row r="967" spans="12:14" hidden="1" x14ac:dyDescent="0.25">
      <c r="L967" s="20" t="str">
        <f ca="1">IF(A967="","",RANDBETWEEN(1,10))</f>
        <v/>
      </c>
      <c r="M967" s="20" t="str">
        <f>IF(A967="","",IF(L967&lt;8,"calibracion","validacion"))</f>
        <v/>
      </c>
      <c r="N967" s="20" t="s">
        <v>826</v>
      </c>
    </row>
    <row r="968" spans="12:14" hidden="1" x14ac:dyDescent="0.25">
      <c r="L968" s="20" t="str">
        <f ca="1">IF(A968="","",RANDBETWEEN(1,10))</f>
        <v/>
      </c>
      <c r="M968" s="20" t="str">
        <f>IF(A968="","",IF(L968&lt;8,"calibracion","validacion"))</f>
        <v/>
      </c>
      <c r="N968" s="20" t="s">
        <v>826</v>
      </c>
    </row>
    <row r="969" spans="12:14" hidden="1" x14ac:dyDescent="0.25">
      <c r="L969" s="20" t="str">
        <f ca="1">IF(A969="","",RANDBETWEEN(1,10))</f>
        <v/>
      </c>
      <c r="M969" s="20" t="str">
        <f>IF(A969="","",IF(L969&lt;8,"calibracion","validacion"))</f>
        <v/>
      </c>
      <c r="N969" s="20" t="s">
        <v>826</v>
      </c>
    </row>
    <row r="970" spans="12:14" hidden="1" x14ac:dyDescent="0.25">
      <c r="L970" s="20" t="str">
        <f ca="1">IF(A970="","",RANDBETWEEN(1,10))</f>
        <v/>
      </c>
      <c r="M970" s="20" t="str">
        <f>IF(A970="","",IF(L970&lt;8,"calibracion","validacion"))</f>
        <v/>
      </c>
      <c r="N970" s="20" t="s">
        <v>826</v>
      </c>
    </row>
    <row r="971" spans="12:14" hidden="1" x14ac:dyDescent="0.25">
      <c r="L971" s="20" t="str">
        <f ca="1">IF(A971="","",RANDBETWEEN(1,10))</f>
        <v/>
      </c>
      <c r="M971" s="20" t="str">
        <f>IF(A971="","",IF(L971&lt;8,"calibracion","validacion"))</f>
        <v/>
      </c>
      <c r="N971" s="20" t="s">
        <v>826</v>
      </c>
    </row>
    <row r="972" spans="12:14" hidden="1" x14ac:dyDescent="0.25">
      <c r="L972" s="20" t="str">
        <f ca="1">IF(A972="","",RANDBETWEEN(1,10))</f>
        <v/>
      </c>
      <c r="M972" s="20" t="str">
        <f>IF(A972="","",IF(L972&lt;8,"calibracion","validacion"))</f>
        <v/>
      </c>
      <c r="N972" s="20" t="s">
        <v>826</v>
      </c>
    </row>
    <row r="973" spans="12:14" hidden="1" x14ac:dyDescent="0.25">
      <c r="L973" s="20" t="str">
        <f ca="1">IF(A973="","",RANDBETWEEN(1,10))</f>
        <v/>
      </c>
      <c r="M973" s="20" t="str">
        <f>IF(A973="","",IF(L973&lt;8,"calibracion","validacion"))</f>
        <v/>
      </c>
      <c r="N973" s="20" t="s">
        <v>826</v>
      </c>
    </row>
    <row r="974" spans="12:14" hidden="1" x14ac:dyDescent="0.25">
      <c r="L974" s="20" t="str">
        <f ca="1">IF(A974="","",RANDBETWEEN(1,10))</f>
        <v/>
      </c>
      <c r="M974" s="20" t="str">
        <f>IF(A974="","",IF(L974&lt;8,"calibracion","validacion"))</f>
        <v/>
      </c>
      <c r="N974" s="20" t="s">
        <v>826</v>
      </c>
    </row>
    <row r="975" spans="12:14" hidden="1" x14ac:dyDescent="0.25">
      <c r="L975" s="20" t="str">
        <f ca="1">IF(A975="","",RANDBETWEEN(1,10))</f>
        <v/>
      </c>
      <c r="M975" s="20" t="str">
        <f>IF(A975="","",IF(L975&lt;8,"calibracion","validacion"))</f>
        <v/>
      </c>
      <c r="N975" s="20" t="s">
        <v>826</v>
      </c>
    </row>
    <row r="976" spans="12:14" hidden="1" x14ac:dyDescent="0.25">
      <c r="L976" s="20" t="str">
        <f ca="1">IF(A976="","",RANDBETWEEN(1,10))</f>
        <v/>
      </c>
      <c r="M976" s="20" t="str">
        <f>IF(A976="","",IF(L976&lt;8,"calibracion","validacion"))</f>
        <v/>
      </c>
      <c r="N976" s="20" t="s">
        <v>826</v>
      </c>
    </row>
    <row r="977" spans="12:14" hidden="1" x14ac:dyDescent="0.25">
      <c r="L977" s="20" t="str">
        <f ca="1">IF(A977="","",RANDBETWEEN(1,10))</f>
        <v/>
      </c>
      <c r="M977" s="20" t="str">
        <f>IF(A977="","",IF(L977&lt;8,"calibracion","validacion"))</f>
        <v/>
      </c>
      <c r="N977" s="20" t="s">
        <v>826</v>
      </c>
    </row>
    <row r="978" spans="12:14" hidden="1" x14ac:dyDescent="0.25">
      <c r="L978" s="20" t="str">
        <f ca="1">IF(A978="","",RANDBETWEEN(1,10))</f>
        <v/>
      </c>
      <c r="M978" s="20" t="str">
        <f>IF(A978="","",IF(L978&lt;8,"calibracion","validacion"))</f>
        <v/>
      </c>
      <c r="N978" s="20" t="s">
        <v>826</v>
      </c>
    </row>
    <row r="979" spans="12:14" hidden="1" x14ac:dyDescent="0.25">
      <c r="L979" s="20" t="str">
        <f ca="1">IF(A979="","",RANDBETWEEN(1,10))</f>
        <v/>
      </c>
      <c r="M979" s="20" t="str">
        <f>IF(A979="","",IF(L979&lt;8,"calibracion","validacion"))</f>
        <v/>
      </c>
      <c r="N979" s="20" t="s">
        <v>826</v>
      </c>
    </row>
    <row r="980" spans="12:14" hidden="1" x14ac:dyDescent="0.25">
      <c r="L980" s="20" t="str">
        <f ca="1">IF(A980="","",RANDBETWEEN(1,10))</f>
        <v/>
      </c>
      <c r="M980" s="20" t="str">
        <f>IF(A980="","",IF(L980&lt;8,"calibracion","validacion"))</f>
        <v/>
      </c>
      <c r="N980" s="20" t="s">
        <v>826</v>
      </c>
    </row>
    <row r="981" spans="12:14" hidden="1" x14ac:dyDescent="0.25">
      <c r="L981" s="20" t="str">
        <f ca="1">IF(A981="","",RANDBETWEEN(1,10))</f>
        <v/>
      </c>
      <c r="M981" s="20" t="str">
        <f>IF(A981="","",IF(L981&lt;8,"calibracion","validacion"))</f>
        <v/>
      </c>
      <c r="N981" s="20" t="s">
        <v>826</v>
      </c>
    </row>
    <row r="982" spans="12:14" hidden="1" x14ac:dyDescent="0.25">
      <c r="L982" s="20" t="str">
        <f ca="1">IF(A982="","",RANDBETWEEN(1,10))</f>
        <v/>
      </c>
      <c r="M982" s="20" t="str">
        <f>IF(A982="","",IF(L982&lt;8,"calibracion","validacion"))</f>
        <v/>
      </c>
      <c r="N982" s="20" t="s">
        <v>826</v>
      </c>
    </row>
    <row r="983" spans="12:14" hidden="1" x14ac:dyDescent="0.25">
      <c r="L983" s="20" t="str">
        <f ca="1">IF(A983="","",RANDBETWEEN(1,10))</f>
        <v/>
      </c>
      <c r="M983" s="20" t="str">
        <f>IF(A983="","",IF(L983&lt;8,"calibracion","validacion"))</f>
        <v/>
      </c>
      <c r="N983" s="20" t="s">
        <v>826</v>
      </c>
    </row>
    <row r="984" spans="12:14" hidden="1" x14ac:dyDescent="0.25">
      <c r="L984" s="20" t="str">
        <f ca="1">IF(A984="","",RANDBETWEEN(1,10))</f>
        <v/>
      </c>
      <c r="M984" s="20" t="str">
        <f>IF(A984="","",IF(L984&lt;8,"calibracion","validacion"))</f>
        <v/>
      </c>
      <c r="N984" s="20" t="s">
        <v>826</v>
      </c>
    </row>
    <row r="985" spans="12:14" hidden="1" x14ac:dyDescent="0.25">
      <c r="L985" s="20" t="str">
        <f ca="1">IF(A985="","",RANDBETWEEN(1,10))</f>
        <v/>
      </c>
      <c r="M985" s="20" t="str">
        <f>IF(A985="","",IF(L985&lt;8,"calibracion","validacion"))</f>
        <v/>
      </c>
      <c r="N985" s="20" t="s">
        <v>826</v>
      </c>
    </row>
    <row r="986" spans="12:14" hidden="1" x14ac:dyDescent="0.25">
      <c r="L986" s="20" t="str">
        <f ca="1">IF(A986="","",RANDBETWEEN(1,10))</f>
        <v/>
      </c>
      <c r="M986" s="20" t="str">
        <f>IF(A986="","",IF(L986&lt;8,"calibracion","validacion"))</f>
        <v/>
      </c>
      <c r="N986" s="20" t="s">
        <v>826</v>
      </c>
    </row>
    <row r="987" spans="12:14" hidden="1" x14ac:dyDescent="0.25">
      <c r="L987" s="20" t="str">
        <f ca="1">IF(A987="","",RANDBETWEEN(1,10))</f>
        <v/>
      </c>
      <c r="M987" s="20" t="str">
        <f>IF(A987="","",IF(L987&lt;8,"calibracion","validacion"))</f>
        <v/>
      </c>
      <c r="N987" s="20" t="s">
        <v>826</v>
      </c>
    </row>
    <row r="988" spans="12:14" hidden="1" x14ac:dyDescent="0.25">
      <c r="L988" s="20" t="str">
        <f ca="1">IF(A988="","",RANDBETWEEN(1,10))</f>
        <v/>
      </c>
      <c r="M988" s="20" t="str">
        <f>IF(A988="","",IF(L988&lt;8,"calibracion","validacion"))</f>
        <v/>
      </c>
      <c r="N988" s="20" t="s">
        <v>826</v>
      </c>
    </row>
    <row r="989" spans="12:14" hidden="1" x14ac:dyDescent="0.25">
      <c r="L989" s="20" t="str">
        <f ca="1">IF(A989="","",RANDBETWEEN(1,10))</f>
        <v/>
      </c>
      <c r="M989" s="20" t="str">
        <f>IF(A989="","",IF(L989&lt;8,"calibracion","validacion"))</f>
        <v/>
      </c>
      <c r="N989" s="20" t="s">
        <v>826</v>
      </c>
    </row>
    <row r="990" spans="12:14" hidden="1" x14ac:dyDescent="0.25">
      <c r="L990" s="20" t="str">
        <f ca="1">IF(A990="","",RANDBETWEEN(1,10))</f>
        <v/>
      </c>
      <c r="M990" s="20" t="str">
        <f>IF(A990="","",IF(L990&lt;8,"calibracion","validacion"))</f>
        <v/>
      </c>
      <c r="N990" s="20" t="s">
        <v>826</v>
      </c>
    </row>
    <row r="991" spans="12:14" hidden="1" x14ac:dyDescent="0.25">
      <c r="L991" s="20" t="str">
        <f ca="1">IF(A991="","",RANDBETWEEN(1,10))</f>
        <v/>
      </c>
      <c r="M991" s="20" t="str">
        <f>IF(A991="","",IF(L991&lt;8,"calibracion","validacion"))</f>
        <v/>
      </c>
      <c r="N991" s="20" t="s">
        <v>826</v>
      </c>
    </row>
    <row r="992" spans="12:14" hidden="1" x14ac:dyDescent="0.25">
      <c r="L992" s="20" t="str">
        <f ca="1">IF(A992="","",RANDBETWEEN(1,10))</f>
        <v/>
      </c>
      <c r="M992" s="20" t="str">
        <f>IF(A992="","",IF(L992&lt;8,"calibracion","validacion"))</f>
        <v/>
      </c>
      <c r="N992" s="20" t="s">
        <v>826</v>
      </c>
    </row>
    <row r="993" spans="12:14" hidden="1" x14ac:dyDescent="0.25">
      <c r="L993" s="20" t="str">
        <f ca="1">IF(A993="","",RANDBETWEEN(1,10))</f>
        <v/>
      </c>
      <c r="M993" s="20" t="str">
        <f>IF(A993="","",IF(L993&lt;8,"calibracion","validacion"))</f>
        <v/>
      </c>
      <c r="N993" s="20" t="s">
        <v>826</v>
      </c>
    </row>
    <row r="994" spans="12:14" hidden="1" x14ac:dyDescent="0.25">
      <c r="L994" s="20" t="str">
        <f ca="1">IF(A994="","",RANDBETWEEN(1,10))</f>
        <v/>
      </c>
      <c r="M994" s="20" t="str">
        <f>IF(A994="","",IF(L994&lt;8,"calibracion","validacion"))</f>
        <v/>
      </c>
      <c r="N994" s="20" t="s">
        <v>826</v>
      </c>
    </row>
    <row r="995" spans="12:14" hidden="1" x14ac:dyDescent="0.25">
      <c r="L995" s="20" t="str">
        <f ca="1">IF(A995="","",RANDBETWEEN(1,10))</f>
        <v/>
      </c>
      <c r="M995" s="20" t="str">
        <f>IF(A995="","",IF(L995&lt;8,"calibracion","validacion"))</f>
        <v/>
      </c>
      <c r="N995" s="20" t="s">
        <v>826</v>
      </c>
    </row>
    <row r="996" spans="12:14" hidden="1" x14ac:dyDescent="0.25">
      <c r="L996" s="20" t="str">
        <f ca="1">IF(A996="","",RANDBETWEEN(1,10))</f>
        <v/>
      </c>
      <c r="M996" s="20" t="str">
        <f>IF(A996="","",IF(L996&lt;8,"calibracion","validacion"))</f>
        <v/>
      </c>
      <c r="N996" s="20" t="s">
        <v>826</v>
      </c>
    </row>
    <row r="997" spans="12:14" hidden="1" x14ac:dyDescent="0.25">
      <c r="L997" s="20" t="str">
        <f ca="1">IF(A997="","",RANDBETWEEN(1,10))</f>
        <v/>
      </c>
      <c r="M997" s="20" t="str">
        <f>IF(A997="","",IF(L997&lt;8,"calibracion","validacion"))</f>
        <v/>
      </c>
      <c r="N997" s="20" t="s">
        <v>826</v>
      </c>
    </row>
    <row r="998" spans="12:14" hidden="1" x14ac:dyDescent="0.25">
      <c r="L998" s="20" t="str">
        <f ca="1">IF(A998="","",RANDBETWEEN(1,10))</f>
        <v/>
      </c>
      <c r="M998" s="20" t="str">
        <f>IF(A998="","",IF(L998&lt;8,"calibracion","validacion"))</f>
        <v/>
      </c>
      <c r="N998" s="20" t="s">
        <v>826</v>
      </c>
    </row>
    <row r="999" spans="12:14" hidden="1" x14ac:dyDescent="0.25">
      <c r="L999" s="20" t="str">
        <f ca="1">IF(A999="","",RANDBETWEEN(1,10))</f>
        <v/>
      </c>
      <c r="M999" s="20" t="str">
        <f>IF(A999="","",IF(L999&lt;8,"calibracion","validacion"))</f>
        <v/>
      </c>
      <c r="N999" s="20" t="s">
        <v>826</v>
      </c>
    </row>
    <row r="1000" spans="12:14" hidden="1" x14ac:dyDescent="0.25">
      <c r="M1000" s="20" t="str">
        <f>IF(A1000="","",IF(L1000&lt;8,"calibracion","validacion"))</f>
        <v/>
      </c>
      <c r="N1000" s="20" t="s">
        <v>826</v>
      </c>
    </row>
    <row r="1001" spans="12:14" hidden="1" x14ac:dyDescent="0.25">
      <c r="M1001" s="20" t="str">
        <f>IF(A1001="","",IF(L1001&lt;8,"calibracion","validacion"))</f>
        <v/>
      </c>
      <c r="N1001" s="20" t="s">
        <v>826</v>
      </c>
    </row>
    <row r="1002" spans="12:14" hidden="1" x14ac:dyDescent="0.25">
      <c r="M1002" s="20" t="str">
        <f>IF(A1002="","",IF(L1002&lt;8,"calibracion","validacion"))</f>
        <v/>
      </c>
      <c r="N1002" s="20" t="s">
        <v>826</v>
      </c>
    </row>
    <row r="1003" spans="12:14" hidden="1" x14ac:dyDescent="0.25">
      <c r="M1003" s="20" t="str">
        <f>IF(A1003="","",IF(L1003&lt;8,"calibracion","validacion"))</f>
        <v/>
      </c>
      <c r="N1003" s="20" t="s">
        <v>826</v>
      </c>
    </row>
    <row r="1004" spans="12:14" hidden="1" x14ac:dyDescent="0.25">
      <c r="M1004" s="20" t="str">
        <f>IF(A1004="","",IF(L1004&lt;8,"calibracion","validacion"))</f>
        <v/>
      </c>
      <c r="N1004" s="20" t="s">
        <v>826</v>
      </c>
    </row>
    <row r="1005" spans="12:14" hidden="1" x14ac:dyDescent="0.25">
      <c r="M1005" s="20" t="str">
        <f>IF(A1005="","",IF(L1005&lt;8,"calibracion","validacion"))</f>
        <v/>
      </c>
      <c r="N1005" s="20" t="s">
        <v>826</v>
      </c>
    </row>
    <row r="1006" spans="12:14" hidden="1" x14ac:dyDescent="0.25">
      <c r="M1006" s="20" t="str">
        <f>IF(A1006="","",IF(L1006&lt;8,"calibracion","validacion"))</f>
        <v/>
      </c>
      <c r="N1006" s="20" t="s">
        <v>826</v>
      </c>
    </row>
    <row r="1007" spans="12:14" hidden="1" x14ac:dyDescent="0.25">
      <c r="M1007" s="20" t="str">
        <f>IF(A1007="","",IF(L1007&lt;8,"calibracion","validacion"))</f>
        <v/>
      </c>
      <c r="N1007" s="20" t="s">
        <v>826</v>
      </c>
    </row>
    <row r="1008" spans="12:14" hidden="1" x14ac:dyDescent="0.25">
      <c r="M1008" s="20" t="str">
        <f>IF(A1008="","",IF(L1008&lt;8,"calibracion","validacion"))</f>
        <v/>
      </c>
      <c r="N1008" s="20" t="s">
        <v>826</v>
      </c>
    </row>
    <row r="1009" spans="13:14" hidden="1" x14ac:dyDescent="0.25">
      <c r="M1009" s="20" t="str">
        <f>IF(A1009="","",IF(L1009&lt;8,"calibracion","validacion"))</f>
        <v/>
      </c>
      <c r="N1009" s="20" t="s">
        <v>826</v>
      </c>
    </row>
    <row r="1010" spans="13:14" hidden="1" x14ac:dyDescent="0.25">
      <c r="M1010" s="20" t="str">
        <f>IF(A1010="","",IF(L1010&lt;8,"calibracion","validacion"))</f>
        <v/>
      </c>
      <c r="N1010" s="20" t="s">
        <v>826</v>
      </c>
    </row>
    <row r="1011" spans="13:14" hidden="1" x14ac:dyDescent="0.25">
      <c r="M1011" s="20" t="str">
        <f>IF(A1011="","",IF(L1011&lt;8,"calibracion","validacion"))</f>
        <v/>
      </c>
      <c r="N1011" s="20" t="s">
        <v>826</v>
      </c>
    </row>
    <row r="1012" spans="13:14" hidden="1" x14ac:dyDescent="0.25">
      <c r="M1012" s="20" t="str">
        <f>IF(A1012="","",IF(L1012&lt;8,"calibracion","validacion"))</f>
        <v/>
      </c>
      <c r="N1012" s="20" t="s">
        <v>826</v>
      </c>
    </row>
    <row r="1013" spans="13:14" hidden="1" x14ac:dyDescent="0.25">
      <c r="M1013" s="20" t="str">
        <f>IF(A1013="","",IF(L1013&lt;8,"calibracion","validacion"))</f>
        <v/>
      </c>
      <c r="N1013" s="20" t="s">
        <v>826</v>
      </c>
    </row>
    <row r="1014" spans="13:14" hidden="1" x14ac:dyDescent="0.25">
      <c r="M1014" s="20" t="str">
        <f>IF(A1014="","",IF(L1014&lt;8,"calibracion","validacion"))</f>
        <v/>
      </c>
      <c r="N1014" s="20" t="s">
        <v>826</v>
      </c>
    </row>
    <row r="1015" spans="13:14" hidden="1" x14ac:dyDescent="0.25">
      <c r="M1015" s="20" t="str">
        <f>IF(A1015="","",IF(L1015&lt;8,"calibracion","validacion"))</f>
        <v/>
      </c>
      <c r="N1015" s="20" t="s">
        <v>826</v>
      </c>
    </row>
    <row r="1016" spans="13:14" hidden="1" x14ac:dyDescent="0.25">
      <c r="M1016" s="20" t="str">
        <f>IF(A1016="","",IF(L1016&lt;8,"calibracion","validacion"))</f>
        <v/>
      </c>
      <c r="N1016" s="20" t="s">
        <v>826</v>
      </c>
    </row>
    <row r="1017" spans="13:14" hidden="1" x14ac:dyDescent="0.25">
      <c r="M1017" s="20" t="str">
        <f>IF(A1017="","",IF(L1017&lt;8,"calibracion","validacion"))</f>
        <v/>
      </c>
      <c r="N1017" s="20" t="s">
        <v>826</v>
      </c>
    </row>
    <row r="1018" spans="13:14" hidden="1" x14ac:dyDescent="0.25">
      <c r="M1018" s="20" t="str">
        <f>IF(A1018="","",IF(L1018&lt;8,"calibracion","validacion"))</f>
        <v/>
      </c>
      <c r="N1018" s="20" t="s">
        <v>826</v>
      </c>
    </row>
    <row r="1019" spans="13:14" hidden="1" x14ac:dyDescent="0.25">
      <c r="M1019" s="20" t="str">
        <f>IF(A1019="","",IF(L1019&lt;8,"calibracion","validacion"))</f>
        <v/>
      </c>
      <c r="N1019" s="20" t="s">
        <v>826</v>
      </c>
    </row>
    <row r="1020" spans="13:14" hidden="1" x14ac:dyDescent="0.25">
      <c r="M1020" s="20" t="str">
        <f>IF(A1020="","",IF(L1020&lt;8,"calibracion","validacion"))</f>
        <v/>
      </c>
      <c r="N1020" s="20" t="s">
        <v>826</v>
      </c>
    </row>
    <row r="1021" spans="13:14" hidden="1" x14ac:dyDescent="0.25">
      <c r="M1021" s="20" t="str">
        <f>IF(A1021="","",IF(L1021&lt;8,"calibracion","validacion"))</f>
        <v/>
      </c>
      <c r="N1021" s="20" t="s">
        <v>826</v>
      </c>
    </row>
    <row r="1022" spans="13:14" hidden="1" x14ac:dyDescent="0.25">
      <c r="M1022" s="20" t="str">
        <f>IF(A1022="","",IF(L1022&lt;8,"calibracion","validacion"))</f>
        <v/>
      </c>
      <c r="N1022" s="20" t="s">
        <v>826</v>
      </c>
    </row>
    <row r="1023" spans="13:14" hidden="1" x14ac:dyDescent="0.25">
      <c r="M1023" s="20" t="str">
        <f>IF(A1023="","",IF(L1023&lt;8,"calibracion","validacion"))</f>
        <v/>
      </c>
      <c r="N1023" s="20" t="s">
        <v>826</v>
      </c>
    </row>
    <row r="1024" spans="13:14" hidden="1" x14ac:dyDescent="0.25">
      <c r="M1024" s="20" t="str">
        <f>IF(A1024="","",IF(L1024&lt;8,"calibracion","validacion"))</f>
        <v/>
      </c>
      <c r="N1024" s="20" t="s">
        <v>826</v>
      </c>
    </row>
    <row r="1025" spans="13:14" hidden="1" x14ac:dyDescent="0.25">
      <c r="M1025" s="20" t="str">
        <f>IF(A1025="","",IF(L1025&lt;8,"calibracion","validacion"))</f>
        <v/>
      </c>
      <c r="N1025" s="20" t="s">
        <v>826</v>
      </c>
    </row>
    <row r="1026" spans="13:14" hidden="1" x14ac:dyDescent="0.25">
      <c r="M1026" s="20" t="str">
        <f>IF(A1026="","",IF(L1026&lt;8,"calibracion","validacion"))</f>
        <v/>
      </c>
      <c r="N1026" s="20" t="s">
        <v>826</v>
      </c>
    </row>
    <row r="1027" spans="13:14" hidden="1" x14ac:dyDescent="0.25">
      <c r="M1027" s="20" t="str">
        <f>IF(A1027="","",IF(L1027&lt;8,"calibracion","validacion"))</f>
        <v/>
      </c>
      <c r="N1027" s="20" t="s">
        <v>826</v>
      </c>
    </row>
    <row r="1028" spans="13:14" hidden="1" x14ac:dyDescent="0.25">
      <c r="M1028" s="20" t="str">
        <f>IF(A1028="","",IF(L1028&lt;8,"calibracion","validacion"))</f>
        <v/>
      </c>
      <c r="N1028" s="20" t="s">
        <v>826</v>
      </c>
    </row>
    <row r="1029" spans="13:14" hidden="1" x14ac:dyDescent="0.25">
      <c r="M1029" s="20" t="str">
        <f>IF(A1029="","",IF(L1029&lt;8,"calibracion","validacion"))</f>
        <v/>
      </c>
      <c r="N1029" s="20" t="s">
        <v>826</v>
      </c>
    </row>
    <row r="1030" spans="13:14" hidden="1" x14ac:dyDescent="0.25">
      <c r="M1030" s="20" t="str">
        <f>IF(A1030="","",IF(L1030&lt;8,"calibracion","validacion"))</f>
        <v/>
      </c>
      <c r="N1030" s="20" t="s">
        <v>826</v>
      </c>
    </row>
    <row r="1031" spans="13:14" hidden="1" x14ac:dyDescent="0.25">
      <c r="M1031" s="20" t="str">
        <f>IF(A1031="","",IF(L1031&lt;8,"calibracion","validacion"))</f>
        <v/>
      </c>
      <c r="N1031" s="20" t="s">
        <v>826</v>
      </c>
    </row>
    <row r="1032" spans="13:14" hidden="1" x14ac:dyDescent="0.25">
      <c r="M1032" s="20" t="str">
        <f>IF(A1032="","",IF(L1032&lt;8,"calibracion","validacion"))</f>
        <v/>
      </c>
      <c r="N1032" s="20" t="s">
        <v>826</v>
      </c>
    </row>
    <row r="1033" spans="13:14" hidden="1" x14ac:dyDescent="0.25">
      <c r="M1033" s="20" t="str">
        <f>IF(A1033="","",IF(L1033&lt;8,"calibracion","validacion"))</f>
        <v/>
      </c>
      <c r="N1033" s="20" t="s">
        <v>826</v>
      </c>
    </row>
    <row r="1034" spans="13:14" hidden="1" x14ac:dyDescent="0.25">
      <c r="M1034" s="20" t="str">
        <f>IF(A1034="","",IF(L1034&lt;8,"calibracion","validacion"))</f>
        <v/>
      </c>
      <c r="N1034" s="20" t="s">
        <v>826</v>
      </c>
    </row>
    <row r="1035" spans="13:14" hidden="1" x14ac:dyDescent="0.25">
      <c r="M1035" s="20" t="str">
        <f>IF(A1035="","",IF(L1035&lt;8,"calibracion","validacion"))</f>
        <v/>
      </c>
      <c r="N1035" s="20" t="s">
        <v>826</v>
      </c>
    </row>
    <row r="1036" spans="13:14" hidden="1" x14ac:dyDescent="0.25">
      <c r="M1036" s="20" t="str">
        <f>IF(A1036="","",IF(L1036&lt;8,"calibracion","validacion"))</f>
        <v/>
      </c>
      <c r="N1036" s="20" t="s">
        <v>826</v>
      </c>
    </row>
    <row r="1037" spans="13:14" hidden="1" x14ac:dyDescent="0.25">
      <c r="M1037" s="20" t="str">
        <f>IF(A1037="","",IF(L1037&lt;8,"calibracion","validacion"))</f>
        <v/>
      </c>
      <c r="N1037" s="20" t="s">
        <v>826</v>
      </c>
    </row>
    <row r="1038" spans="13:14" hidden="1" x14ac:dyDescent="0.25">
      <c r="M1038" s="20" t="str">
        <f>IF(A1038="","",IF(L1038&lt;8,"calibracion","validacion"))</f>
        <v/>
      </c>
      <c r="N1038" s="20" t="s">
        <v>826</v>
      </c>
    </row>
    <row r="1039" spans="13:14" hidden="1" x14ac:dyDescent="0.25">
      <c r="M1039" s="20" t="str">
        <f>IF(A1039="","",IF(L1039&lt;8,"calibracion","validacion"))</f>
        <v/>
      </c>
      <c r="N1039" s="20" t="s">
        <v>826</v>
      </c>
    </row>
    <row r="1040" spans="13:14" hidden="1" x14ac:dyDescent="0.25">
      <c r="M1040" s="20" t="str">
        <f>IF(A1040="","",IF(L1040&lt;8,"calibracion","validacion"))</f>
        <v/>
      </c>
      <c r="N1040" s="20" t="s">
        <v>826</v>
      </c>
    </row>
    <row r="1041" spans="13:14" hidden="1" x14ac:dyDescent="0.25">
      <c r="M1041" s="20" t="str">
        <f>IF(A1041="","",IF(L1041&lt;8,"calibracion","validacion"))</f>
        <v/>
      </c>
      <c r="N1041" s="20" t="s">
        <v>826</v>
      </c>
    </row>
    <row r="1042" spans="13:14" hidden="1" x14ac:dyDescent="0.25">
      <c r="M1042" s="20" t="str">
        <f>IF(A1042="","",IF(L1042&lt;8,"calibracion","validacion"))</f>
        <v/>
      </c>
      <c r="N1042" s="20" t="s">
        <v>826</v>
      </c>
    </row>
    <row r="1043" spans="13:14" hidden="1" x14ac:dyDescent="0.25">
      <c r="M1043" s="20" t="str">
        <f>IF(A1043="","",IF(L1043&lt;8,"calibracion","validacion"))</f>
        <v/>
      </c>
      <c r="N1043" s="20" t="s">
        <v>826</v>
      </c>
    </row>
    <row r="1044" spans="13:14" hidden="1" x14ac:dyDescent="0.25">
      <c r="M1044" s="20" t="str">
        <f>IF(A1044="","",IF(L1044&lt;8,"calibracion","validacion"))</f>
        <v/>
      </c>
      <c r="N1044" s="20" t="s">
        <v>826</v>
      </c>
    </row>
    <row r="1045" spans="13:14" hidden="1" x14ac:dyDescent="0.25">
      <c r="M1045" s="20" t="str">
        <f>IF(A1045="","",IF(L1045&lt;8,"calibracion","validacion"))</f>
        <v/>
      </c>
      <c r="N1045" s="20" t="s">
        <v>826</v>
      </c>
    </row>
    <row r="1046" spans="13:14" hidden="1" x14ac:dyDescent="0.25">
      <c r="M1046" s="20" t="str">
        <f>IF(A1046="","",IF(L1046&lt;8,"calibracion","validacion"))</f>
        <v/>
      </c>
      <c r="N1046" s="20" t="s">
        <v>826</v>
      </c>
    </row>
    <row r="1047" spans="13:14" hidden="1" x14ac:dyDescent="0.25">
      <c r="M1047" s="20" t="str">
        <f>IF(A1047="","",IF(L1047&lt;8,"calibracion","validacion"))</f>
        <v/>
      </c>
      <c r="N1047" s="20" t="s">
        <v>826</v>
      </c>
    </row>
    <row r="1048" spans="13:14" hidden="1" x14ac:dyDescent="0.25">
      <c r="M1048" s="20" t="str">
        <f>IF(A1048="","",IF(L1048&lt;8,"calibracion","validacion"))</f>
        <v/>
      </c>
      <c r="N1048" s="20" t="s">
        <v>826</v>
      </c>
    </row>
    <row r="1049" spans="13:14" hidden="1" x14ac:dyDescent="0.25">
      <c r="M1049" s="20" t="str">
        <f>IF(A1049="","",IF(L1049&lt;8,"calibracion","validacion"))</f>
        <v/>
      </c>
      <c r="N1049" s="20" t="s">
        <v>826</v>
      </c>
    </row>
    <row r="1050" spans="13:14" hidden="1" x14ac:dyDescent="0.25">
      <c r="M1050" s="20" t="str">
        <f>IF(A1050="","",IF(L1050&lt;8,"calibracion","validacion"))</f>
        <v/>
      </c>
      <c r="N1050" s="20" t="s">
        <v>826</v>
      </c>
    </row>
    <row r="1051" spans="13:14" hidden="1" x14ac:dyDescent="0.25">
      <c r="M1051" s="20" t="str">
        <f>IF(A1051="","",IF(L1051&lt;8,"calibracion","validacion"))</f>
        <v/>
      </c>
      <c r="N1051" s="20" t="s">
        <v>826</v>
      </c>
    </row>
    <row r="1052" spans="13:14" hidden="1" x14ac:dyDescent="0.25">
      <c r="M1052" s="20" t="str">
        <f>IF(A1052="","",IF(L1052&lt;8,"calibracion","validacion"))</f>
        <v/>
      </c>
      <c r="N1052" s="20" t="s">
        <v>826</v>
      </c>
    </row>
    <row r="1053" spans="13:14" hidden="1" x14ac:dyDescent="0.25">
      <c r="M1053" s="20" t="str">
        <f>IF(A1053="","",IF(L1053&lt;8,"calibracion","validacion"))</f>
        <v/>
      </c>
      <c r="N1053" s="20" t="s">
        <v>826</v>
      </c>
    </row>
    <row r="1054" spans="13:14" hidden="1" x14ac:dyDescent="0.25">
      <c r="M1054" s="20" t="str">
        <f>IF(A1054="","",IF(L1054&lt;8,"calibracion","validacion"))</f>
        <v/>
      </c>
      <c r="N1054" s="20" t="s">
        <v>826</v>
      </c>
    </row>
    <row r="1055" spans="13:14" hidden="1" x14ac:dyDescent="0.25">
      <c r="M1055" s="20" t="str">
        <f>IF(A1055="","",IF(L1055&lt;8,"calibracion","validacion"))</f>
        <v/>
      </c>
      <c r="N1055" s="20" t="s">
        <v>826</v>
      </c>
    </row>
    <row r="1056" spans="13:14" hidden="1" x14ac:dyDescent="0.25">
      <c r="M1056" s="20" t="str">
        <f>IF(A1056="","",IF(L1056&lt;8,"calibracion","validacion"))</f>
        <v/>
      </c>
      <c r="N1056" s="20" t="s">
        <v>826</v>
      </c>
    </row>
    <row r="1057" spans="13:14" hidden="1" x14ac:dyDescent="0.25">
      <c r="M1057" s="20" t="str">
        <f>IF(A1057="","",IF(L1057&lt;8,"calibracion","validacion"))</f>
        <v/>
      </c>
      <c r="N1057" s="20" t="s">
        <v>826</v>
      </c>
    </row>
    <row r="1058" spans="13:14" hidden="1" x14ac:dyDescent="0.25">
      <c r="M1058" s="20" t="str">
        <f>IF(A1058="","",IF(L1058&lt;8,"calibracion","validacion"))</f>
        <v/>
      </c>
      <c r="N1058" s="20" t="s">
        <v>826</v>
      </c>
    </row>
    <row r="1059" spans="13:14" hidden="1" x14ac:dyDescent="0.25">
      <c r="M1059" s="20" t="str">
        <f>IF(A1059="","",IF(L1059&lt;8,"calibracion","validacion"))</f>
        <v/>
      </c>
      <c r="N1059" s="20" t="s">
        <v>826</v>
      </c>
    </row>
    <row r="1060" spans="13:14" hidden="1" x14ac:dyDescent="0.25">
      <c r="M1060" s="20" t="str">
        <f>IF(A1060="","",IF(L1060&lt;8,"calibracion","validacion"))</f>
        <v/>
      </c>
      <c r="N1060" s="20" t="s">
        <v>826</v>
      </c>
    </row>
    <row r="1061" spans="13:14" hidden="1" x14ac:dyDescent="0.25">
      <c r="M1061" s="20" t="str">
        <f>IF(A1061="","",IF(L1061&lt;8,"calibracion","validacion"))</f>
        <v/>
      </c>
      <c r="N1061" s="20" t="s">
        <v>826</v>
      </c>
    </row>
    <row r="1062" spans="13:14" hidden="1" x14ac:dyDescent="0.25">
      <c r="M1062" s="20" t="str">
        <f>IF(A1062="","",IF(L1062&lt;8,"calibracion","validacion"))</f>
        <v/>
      </c>
      <c r="N1062" s="20" t="s">
        <v>826</v>
      </c>
    </row>
    <row r="1063" spans="13:14" hidden="1" x14ac:dyDescent="0.25">
      <c r="M1063" s="20" t="str">
        <f>IF(A1063="","",IF(L1063&lt;8,"calibracion","validacion"))</f>
        <v/>
      </c>
      <c r="N1063" s="20" t="s">
        <v>826</v>
      </c>
    </row>
    <row r="1064" spans="13:14" hidden="1" x14ac:dyDescent="0.25">
      <c r="M1064" s="20" t="str">
        <f>IF(A1064="","",IF(L1064&lt;8,"calibracion","validacion"))</f>
        <v/>
      </c>
      <c r="N1064" s="20" t="s">
        <v>826</v>
      </c>
    </row>
    <row r="1065" spans="13:14" hidden="1" x14ac:dyDescent="0.25">
      <c r="M1065" s="20" t="str">
        <f>IF(A1065="","",IF(L1065&lt;8,"calibracion","validacion"))</f>
        <v/>
      </c>
      <c r="N1065" s="20" t="s">
        <v>826</v>
      </c>
    </row>
    <row r="1066" spans="13:14" hidden="1" x14ac:dyDescent="0.25">
      <c r="M1066" s="20" t="str">
        <f>IF(A1066="","",IF(L1066&lt;8,"calibracion","validacion"))</f>
        <v/>
      </c>
      <c r="N1066" s="20" t="s">
        <v>826</v>
      </c>
    </row>
    <row r="1067" spans="13:14" hidden="1" x14ac:dyDescent="0.25">
      <c r="M1067" s="20" t="str">
        <f>IF(A1067="","",IF(L1067&lt;8,"calibracion","validacion"))</f>
        <v/>
      </c>
      <c r="N1067" s="20" t="s">
        <v>826</v>
      </c>
    </row>
    <row r="1068" spans="13:14" hidden="1" x14ac:dyDescent="0.25">
      <c r="M1068" s="20" t="str">
        <f>IF(A1068="","",IF(L1068&lt;8,"calibracion","validacion"))</f>
        <v/>
      </c>
      <c r="N1068" s="20" t="s">
        <v>826</v>
      </c>
    </row>
    <row r="1069" spans="13:14" hidden="1" x14ac:dyDescent="0.25">
      <c r="M1069" s="20" t="str">
        <f>IF(A1069="","",IF(L1069&lt;8,"calibracion","validacion"))</f>
        <v/>
      </c>
      <c r="N1069" s="20" t="s">
        <v>826</v>
      </c>
    </row>
    <row r="1070" spans="13:14" hidden="1" x14ac:dyDescent="0.25">
      <c r="M1070" s="20" t="str">
        <f>IF(A1070="","",IF(L1070&lt;8,"calibracion","validacion"))</f>
        <v/>
      </c>
      <c r="N1070" s="20" t="s">
        <v>826</v>
      </c>
    </row>
    <row r="1071" spans="13:14" hidden="1" x14ac:dyDescent="0.25">
      <c r="M1071" s="20" t="str">
        <f>IF(A1071="","",IF(L1071&lt;8,"calibracion","validacion"))</f>
        <v/>
      </c>
      <c r="N1071" s="20" t="s">
        <v>826</v>
      </c>
    </row>
    <row r="1072" spans="13:14" hidden="1" x14ac:dyDescent="0.25">
      <c r="M1072" s="20" t="str">
        <f>IF(A1072="","",IF(L1072&lt;8,"calibracion","validacion"))</f>
        <v/>
      </c>
      <c r="N1072" s="20" t="s">
        <v>826</v>
      </c>
    </row>
    <row r="1073" spans="13:14" hidden="1" x14ac:dyDescent="0.25">
      <c r="M1073" s="20" t="str">
        <f>IF(A1073="","",IF(L1073&lt;8,"calibracion","validacion"))</f>
        <v/>
      </c>
      <c r="N1073" s="20" t="s">
        <v>826</v>
      </c>
    </row>
    <row r="1074" spans="13:14" hidden="1" x14ac:dyDescent="0.25">
      <c r="M1074" s="20" t="str">
        <f>IF(A1074="","",IF(L1074&lt;8,"calibracion","validacion"))</f>
        <v/>
      </c>
      <c r="N1074" s="20" t="s">
        <v>826</v>
      </c>
    </row>
    <row r="1075" spans="13:14" hidden="1" x14ac:dyDescent="0.25">
      <c r="M1075" s="20" t="str">
        <f>IF(A1075="","",IF(L1075&lt;8,"calibracion","validacion"))</f>
        <v/>
      </c>
      <c r="N1075" s="20" t="s">
        <v>826</v>
      </c>
    </row>
    <row r="1076" spans="13:14" hidden="1" x14ac:dyDescent="0.25">
      <c r="M1076" s="20" t="str">
        <f>IF(A1076="","",IF(L1076&lt;8,"calibracion","validacion"))</f>
        <v/>
      </c>
      <c r="N1076" s="20" t="s">
        <v>826</v>
      </c>
    </row>
    <row r="1077" spans="13:14" hidden="1" x14ac:dyDescent="0.25">
      <c r="M1077" s="20" t="str">
        <f>IF(A1077="","",IF(L1077&lt;8,"calibracion","validacion"))</f>
        <v/>
      </c>
      <c r="N1077" s="20" t="s">
        <v>826</v>
      </c>
    </row>
    <row r="1078" spans="13:14" hidden="1" x14ac:dyDescent="0.25">
      <c r="M1078" s="20" t="str">
        <f>IF(A1078="","",IF(L1078&lt;8,"calibracion","validacion"))</f>
        <v/>
      </c>
      <c r="N1078" s="20" t="s">
        <v>826</v>
      </c>
    </row>
    <row r="1079" spans="13:14" hidden="1" x14ac:dyDescent="0.25">
      <c r="M1079" s="20" t="str">
        <f>IF(A1079="","",IF(L1079&lt;8,"calibracion","validacion"))</f>
        <v/>
      </c>
      <c r="N1079" s="20" t="s">
        <v>826</v>
      </c>
    </row>
    <row r="1080" spans="13:14" hidden="1" x14ac:dyDescent="0.25">
      <c r="M1080" s="20" t="str">
        <f>IF(A1080="","",IF(L1080&lt;8,"calibracion","validacion"))</f>
        <v/>
      </c>
      <c r="N1080" s="20" t="s">
        <v>826</v>
      </c>
    </row>
    <row r="1081" spans="13:14" hidden="1" x14ac:dyDescent="0.25">
      <c r="M1081" s="20" t="str">
        <f>IF(A1081="","",IF(L1081&lt;8,"calibracion","validacion"))</f>
        <v/>
      </c>
      <c r="N1081" s="20" t="s">
        <v>826</v>
      </c>
    </row>
    <row r="1082" spans="13:14" hidden="1" x14ac:dyDescent="0.25">
      <c r="M1082" s="20" t="str">
        <f>IF(A1082="","",IF(L1082&lt;8,"calibracion","validacion"))</f>
        <v/>
      </c>
      <c r="N1082" s="20" t="s">
        <v>826</v>
      </c>
    </row>
    <row r="1083" spans="13:14" hidden="1" x14ac:dyDescent="0.25">
      <c r="M1083" s="20" t="str">
        <f>IF(A1083="","",IF(L1083&lt;8,"calibracion","validacion"))</f>
        <v/>
      </c>
      <c r="N1083" s="20" t="s">
        <v>826</v>
      </c>
    </row>
    <row r="1084" spans="13:14" hidden="1" x14ac:dyDescent="0.25">
      <c r="M1084" s="20" t="str">
        <f>IF(A1084="","",IF(L1084&lt;8,"calibracion","validacion"))</f>
        <v/>
      </c>
      <c r="N1084" s="20" t="s">
        <v>826</v>
      </c>
    </row>
    <row r="1085" spans="13:14" hidden="1" x14ac:dyDescent="0.25">
      <c r="M1085" s="20" t="str">
        <f>IF(A1085="","",IF(L1085&lt;8,"calibracion","validacion"))</f>
        <v/>
      </c>
      <c r="N1085" s="20" t="s">
        <v>826</v>
      </c>
    </row>
    <row r="1086" spans="13:14" hidden="1" x14ac:dyDescent="0.25">
      <c r="M1086" s="20" t="str">
        <f>IF(A1086="","",IF(L1086&lt;8,"calibracion","validacion"))</f>
        <v/>
      </c>
      <c r="N1086" s="20" t="s">
        <v>826</v>
      </c>
    </row>
    <row r="1087" spans="13:14" hidden="1" x14ac:dyDescent="0.25">
      <c r="M1087" s="20" t="str">
        <f>IF(A1087="","",IF(L1087&lt;8,"calibracion","validacion"))</f>
        <v/>
      </c>
      <c r="N1087" s="20" t="s">
        <v>826</v>
      </c>
    </row>
    <row r="1088" spans="13:14" hidden="1" x14ac:dyDescent="0.25">
      <c r="M1088" s="20" t="str">
        <f>IF(A1088="","",IF(L1088&lt;8,"calibracion","validacion"))</f>
        <v/>
      </c>
      <c r="N1088" s="20" t="s">
        <v>826</v>
      </c>
    </row>
    <row r="1089" spans="13:14" hidden="1" x14ac:dyDescent="0.25">
      <c r="M1089" s="20" t="str">
        <f>IF(A1089="","",IF(L1089&lt;8,"calibracion","validacion"))</f>
        <v/>
      </c>
      <c r="N1089" s="20" t="s">
        <v>826</v>
      </c>
    </row>
    <row r="1090" spans="13:14" hidden="1" x14ac:dyDescent="0.25">
      <c r="M1090" s="20" t="str">
        <f>IF(A1090="","",IF(L1090&lt;8,"calibracion","validacion"))</f>
        <v/>
      </c>
      <c r="N1090" s="20" t="s">
        <v>826</v>
      </c>
    </row>
    <row r="1091" spans="13:14" hidden="1" x14ac:dyDescent="0.25">
      <c r="M1091" s="20" t="str">
        <f>IF(A1091="","",IF(L1091&lt;8,"calibracion","validacion"))</f>
        <v/>
      </c>
      <c r="N1091" s="20" t="s">
        <v>826</v>
      </c>
    </row>
    <row r="1092" spans="13:14" hidden="1" x14ac:dyDescent="0.25">
      <c r="M1092" s="20" t="str">
        <f>IF(A1092="","",IF(L1092&lt;8,"calibracion","validacion"))</f>
        <v/>
      </c>
      <c r="N1092" s="20" t="s">
        <v>826</v>
      </c>
    </row>
    <row r="1093" spans="13:14" hidden="1" x14ac:dyDescent="0.25">
      <c r="M1093" s="20" t="str">
        <f>IF(A1093="","",IF(L1093&lt;8,"calibracion","validacion"))</f>
        <v/>
      </c>
      <c r="N1093" s="20" t="s">
        <v>826</v>
      </c>
    </row>
    <row r="1094" spans="13:14" hidden="1" x14ac:dyDescent="0.25">
      <c r="M1094" s="20" t="str">
        <f>IF(A1094="","",IF(L1094&lt;8,"calibracion","validacion"))</f>
        <v/>
      </c>
      <c r="N1094" s="20" t="s">
        <v>826</v>
      </c>
    </row>
    <row r="1095" spans="13:14" hidden="1" x14ac:dyDescent="0.25">
      <c r="M1095" s="20" t="str">
        <f>IF(A1095="","",IF(L1095&lt;8,"calibracion","validacion"))</f>
        <v/>
      </c>
      <c r="N1095" s="20" t="s">
        <v>826</v>
      </c>
    </row>
    <row r="1096" spans="13:14" hidden="1" x14ac:dyDescent="0.25">
      <c r="M1096" s="20" t="str">
        <f>IF(A1096="","",IF(L1096&lt;8,"calibracion","validacion"))</f>
        <v/>
      </c>
      <c r="N1096" s="20" t="s">
        <v>826</v>
      </c>
    </row>
    <row r="1097" spans="13:14" hidden="1" x14ac:dyDescent="0.25">
      <c r="M1097" s="20" t="str">
        <f>IF(A1097="","",IF(L1097&lt;8,"calibracion","validacion"))</f>
        <v/>
      </c>
      <c r="N1097" s="20" t="s">
        <v>826</v>
      </c>
    </row>
    <row r="1098" spans="13:14" hidden="1" x14ac:dyDescent="0.25">
      <c r="M1098" s="20" t="str">
        <f>IF(A1098="","",IF(L1098&lt;8,"calibracion","validacion"))</f>
        <v/>
      </c>
      <c r="N1098" s="20" t="s">
        <v>826</v>
      </c>
    </row>
    <row r="1099" spans="13:14" hidden="1" x14ac:dyDescent="0.25">
      <c r="M1099" s="20" t="str">
        <f>IF(A1099="","",IF(L1099&lt;8,"calibracion","validacion"))</f>
        <v/>
      </c>
      <c r="N1099" s="20" t="s">
        <v>826</v>
      </c>
    </row>
    <row r="1100" spans="13:14" hidden="1" x14ac:dyDescent="0.25">
      <c r="M1100" s="20" t="str">
        <f>IF(A1100="","",IF(L1100&lt;8,"calibracion","validacion"))</f>
        <v/>
      </c>
      <c r="N1100" s="20" t="s">
        <v>826</v>
      </c>
    </row>
    <row r="1101" spans="13:14" hidden="1" x14ac:dyDescent="0.25">
      <c r="M1101" s="20" t="str">
        <f>IF(A1101="","",IF(L1101&lt;8,"calibracion","validacion"))</f>
        <v/>
      </c>
      <c r="N1101" s="20" t="s">
        <v>826</v>
      </c>
    </row>
    <row r="1102" spans="13:14" hidden="1" x14ac:dyDescent="0.25">
      <c r="M1102" s="20" t="str">
        <f>IF(A1102="","",IF(L1102&lt;8,"calibracion","validacion"))</f>
        <v/>
      </c>
      <c r="N1102" s="20" t="s">
        <v>826</v>
      </c>
    </row>
    <row r="1103" spans="13:14" hidden="1" x14ac:dyDescent="0.25">
      <c r="M1103" s="20" t="str">
        <f>IF(A1103="","",IF(L1103&lt;8,"calibracion","validacion"))</f>
        <v/>
      </c>
      <c r="N1103" s="20" t="s">
        <v>826</v>
      </c>
    </row>
    <row r="1104" spans="13:14" hidden="1" x14ac:dyDescent="0.25">
      <c r="M1104" s="20" t="str">
        <f>IF(A1104="","",IF(L1104&lt;8,"calibracion","validacion"))</f>
        <v/>
      </c>
      <c r="N1104" s="20" t="s">
        <v>826</v>
      </c>
    </row>
    <row r="1105" spans="13:14" hidden="1" x14ac:dyDescent="0.25">
      <c r="M1105" s="20" t="str">
        <f>IF(A1105="","",IF(L1105&lt;8,"calibracion","validacion"))</f>
        <v/>
      </c>
      <c r="N1105" s="20" t="s">
        <v>826</v>
      </c>
    </row>
    <row r="1106" spans="13:14" hidden="1" x14ac:dyDescent="0.25">
      <c r="M1106" s="20" t="str">
        <f>IF(A1106="","",IF(L1106&lt;8,"calibracion","validacion"))</f>
        <v/>
      </c>
      <c r="N1106" s="20" t="s">
        <v>826</v>
      </c>
    </row>
    <row r="1107" spans="13:14" hidden="1" x14ac:dyDescent="0.25">
      <c r="M1107" s="20" t="str">
        <f>IF(A1107="","",IF(L1107&lt;8,"calibracion","validacion"))</f>
        <v/>
      </c>
      <c r="N1107" s="20" t="s">
        <v>826</v>
      </c>
    </row>
    <row r="1108" spans="13:14" hidden="1" x14ac:dyDescent="0.25">
      <c r="M1108" s="20" t="str">
        <f>IF(A1108="","",IF(L1108&lt;8,"calibracion","validacion"))</f>
        <v/>
      </c>
      <c r="N1108" s="20" t="s">
        <v>826</v>
      </c>
    </row>
    <row r="1109" spans="13:14" hidden="1" x14ac:dyDescent="0.25">
      <c r="M1109" s="20" t="str">
        <f>IF(A1109="","",IF(L1109&lt;8,"calibracion","validacion"))</f>
        <v/>
      </c>
      <c r="N1109" s="20" t="s">
        <v>826</v>
      </c>
    </row>
    <row r="1110" spans="13:14" hidden="1" x14ac:dyDescent="0.25">
      <c r="M1110" s="20" t="str">
        <f>IF(A1110="","",IF(L1110&lt;8,"calibracion","validacion"))</f>
        <v/>
      </c>
      <c r="N1110" s="20" t="s">
        <v>826</v>
      </c>
    </row>
    <row r="1111" spans="13:14" hidden="1" x14ac:dyDescent="0.25">
      <c r="M1111" s="20" t="str">
        <f>IF(A1111="","",IF(L1111&lt;8,"calibracion","validacion"))</f>
        <v/>
      </c>
      <c r="N1111" s="20" t="s">
        <v>826</v>
      </c>
    </row>
    <row r="1112" spans="13:14" hidden="1" x14ac:dyDescent="0.25">
      <c r="M1112" s="20" t="str">
        <f>IF(A1112="","",IF(L1112&lt;8,"calibracion","validacion"))</f>
        <v/>
      </c>
      <c r="N1112" s="20" t="s">
        <v>826</v>
      </c>
    </row>
    <row r="1113" spans="13:14" hidden="1" x14ac:dyDescent="0.25">
      <c r="M1113" s="20" t="str">
        <f>IF(A1113="","",IF(L1113&lt;8,"calibracion","validacion"))</f>
        <v/>
      </c>
      <c r="N1113" s="20" t="s">
        <v>826</v>
      </c>
    </row>
    <row r="1114" spans="13:14" hidden="1" x14ac:dyDescent="0.25">
      <c r="M1114" s="20" t="str">
        <f>IF(A1114="","",IF(L1114&lt;8,"calibracion","validacion"))</f>
        <v/>
      </c>
      <c r="N1114" s="20" t="s">
        <v>826</v>
      </c>
    </row>
    <row r="1115" spans="13:14" hidden="1" x14ac:dyDescent="0.25">
      <c r="M1115" s="20" t="str">
        <f>IF(A1115="","",IF(L1115&lt;8,"calibracion","validacion"))</f>
        <v/>
      </c>
      <c r="N1115" s="20" t="s">
        <v>826</v>
      </c>
    </row>
    <row r="1116" spans="13:14" hidden="1" x14ac:dyDescent="0.25">
      <c r="M1116" s="20" t="str">
        <f>IF(A1116="","",IF(L1116&lt;8,"calibracion","validacion"))</f>
        <v/>
      </c>
      <c r="N1116" s="20" t="s">
        <v>826</v>
      </c>
    </row>
    <row r="1117" spans="13:14" hidden="1" x14ac:dyDescent="0.25">
      <c r="M1117" s="20" t="str">
        <f>IF(A1117="","",IF(L1117&lt;8,"calibracion","validacion"))</f>
        <v/>
      </c>
      <c r="N1117" s="20" t="s">
        <v>826</v>
      </c>
    </row>
    <row r="1118" spans="13:14" hidden="1" x14ac:dyDescent="0.25">
      <c r="M1118" s="20" t="str">
        <f>IF(A1118="","",IF(L1118&lt;8,"calibracion","validacion"))</f>
        <v/>
      </c>
      <c r="N1118" s="20" t="s">
        <v>826</v>
      </c>
    </row>
    <row r="1119" spans="13:14" hidden="1" x14ac:dyDescent="0.25">
      <c r="M1119" s="20" t="str">
        <f>IF(A1119="","",IF(L1119&lt;8,"calibracion","validacion"))</f>
        <v/>
      </c>
      <c r="N1119" s="20" t="s">
        <v>826</v>
      </c>
    </row>
    <row r="1120" spans="13:14" hidden="1" x14ac:dyDescent="0.25">
      <c r="M1120" s="20" t="str">
        <f>IF(A1120="","",IF(L1120&lt;8,"calibracion","validacion"))</f>
        <v/>
      </c>
      <c r="N1120" s="20" t="s">
        <v>826</v>
      </c>
    </row>
    <row r="1121" spans="13:14" hidden="1" x14ac:dyDescent="0.25">
      <c r="M1121" s="20" t="str">
        <f>IF(A1121="","",IF(L1121&lt;8,"calibracion","validacion"))</f>
        <v/>
      </c>
      <c r="N1121" s="20" t="s">
        <v>826</v>
      </c>
    </row>
    <row r="1122" spans="13:14" hidden="1" x14ac:dyDescent="0.25">
      <c r="M1122" s="20" t="str">
        <f>IF(A1122="","",IF(L1122&lt;8,"calibracion","validacion"))</f>
        <v/>
      </c>
      <c r="N1122" s="20" t="s">
        <v>826</v>
      </c>
    </row>
    <row r="1123" spans="13:14" hidden="1" x14ac:dyDescent="0.25">
      <c r="M1123" s="20" t="str">
        <f>IF(A1123="","",IF(L1123&lt;8,"calibracion","validacion"))</f>
        <v/>
      </c>
      <c r="N1123" s="20" t="s">
        <v>826</v>
      </c>
    </row>
    <row r="1124" spans="13:14" hidden="1" x14ac:dyDescent="0.25">
      <c r="M1124" s="20" t="str">
        <f>IF(A1124="","",IF(L1124&lt;8,"calibracion","validacion"))</f>
        <v/>
      </c>
      <c r="N1124" s="20" t="s">
        <v>826</v>
      </c>
    </row>
    <row r="1125" spans="13:14" hidden="1" x14ac:dyDescent="0.25">
      <c r="M1125" s="20" t="str">
        <f>IF(A1125="","",IF(L1125&lt;8,"calibracion","validacion"))</f>
        <v/>
      </c>
      <c r="N1125" s="20" t="s">
        <v>826</v>
      </c>
    </row>
    <row r="1126" spans="13:14" hidden="1" x14ac:dyDescent="0.25">
      <c r="M1126" s="20" t="str">
        <f>IF(A1126="","",IF(L1126&lt;8,"calibracion","validacion"))</f>
        <v/>
      </c>
      <c r="N1126" s="20" t="s">
        <v>826</v>
      </c>
    </row>
    <row r="1127" spans="13:14" hidden="1" x14ac:dyDescent="0.25">
      <c r="M1127" s="20" t="str">
        <f>IF(A1127="","",IF(L1127&lt;8,"calibracion","validacion"))</f>
        <v/>
      </c>
      <c r="N1127" s="20" t="s">
        <v>826</v>
      </c>
    </row>
    <row r="1128" spans="13:14" hidden="1" x14ac:dyDescent="0.25">
      <c r="M1128" s="20" t="str">
        <f>IF(A1128="","",IF(L1128&lt;8,"calibracion","validacion"))</f>
        <v/>
      </c>
      <c r="N1128" s="20" t="s">
        <v>826</v>
      </c>
    </row>
    <row r="1129" spans="13:14" hidden="1" x14ac:dyDescent="0.25">
      <c r="M1129" s="20" t="str">
        <f>IF(A1129="","",IF(L1129&lt;8,"calibracion","validacion"))</f>
        <v/>
      </c>
      <c r="N1129" s="20" t="s">
        <v>826</v>
      </c>
    </row>
    <row r="1130" spans="13:14" hidden="1" x14ac:dyDescent="0.25">
      <c r="M1130" s="20" t="str">
        <f>IF(A1130="","",IF(L1130&lt;8,"calibracion","validacion"))</f>
        <v/>
      </c>
      <c r="N1130" s="20" t="s">
        <v>826</v>
      </c>
    </row>
    <row r="1131" spans="13:14" hidden="1" x14ac:dyDescent="0.25">
      <c r="M1131" s="20" t="str">
        <f>IF(A1131="","",IF(L1131&lt;8,"calibracion","validacion"))</f>
        <v/>
      </c>
      <c r="N1131" s="20" t="s">
        <v>826</v>
      </c>
    </row>
    <row r="1132" spans="13:14" hidden="1" x14ac:dyDescent="0.25">
      <c r="M1132" s="20" t="str">
        <f>IF(A1132="","",IF(L1132&lt;8,"calibracion","validacion"))</f>
        <v/>
      </c>
      <c r="N1132" s="20" t="s">
        <v>826</v>
      </c>
    </row>
    <row r="1133" spans="13:14" hidden="1" x14ac:dyDescent="0.25">
      <c r="M1133" s="20" t="str">
        <f>IF(A1133="","",IF(L1133&lt;8,"calibracion","validacion"))</f>
        <v/>
      </c>
      <c r="N1133" s="20" t="s">
        <v>826</v>
      </c>
    </row>
    <row r="1134" spans="13:14" hidden="1" x14ac:dyDescent="0.25">
      <c r="M1134" s="20" t="str">
        <f>IF(A1134="","",IF(L1134&lt;8,"calibracion","validacion"))</f>
        <v/>
      </c>
      <c r="N1134" s="20" t="s">
        <v>826</v>
      </c>
    </row>
    <row r="1135" spans="13:14" hidden="1" x14ac:dyDescent="0.25">
      <c r="M1135" s="20" t="str">
        <f>IF(A1135="","",IF(L1135&lt;8,"calibracion","validacion"))</f>
        <v/>
      </c>
      <c r="N1135" s="20" t="s">
        <v>826</v>
      </c>
    </row>
    <row r="1136" spans="13:14" hidden="1" x14ac:dyDescent="0.25">
      <c r="M1136" s="20" t="str">
        <f>IF(A1136="","",IF(L1136&lt;8,"calibracion","validacion"))</f>
        <v/>
      </c>
      <c r="N1136" s="20" t="s">
        <v>826</v>
      </c>
    </row>
    <row r="1137" spans="13:14" hidden="1" x14ac:dyDescent="0.25">
      <c r="M1137" s="20" t="str">
        <f>IF(A1137="","",IF(L1137&lt;8,"calibracion","validacion"))</f>
        <v/>
      </c>
      <c r="N1137" s="20" t="s">
        <v>826</v>
      </c>
    </row>
    <row r="1138" spans="13:14" hidden="1" x14ac:dyDescent="0.25">
      <c r="M1138" s="20" t="str">
        <f>IF(A1138="","",IF(L1138&lt;8,"calibracion","validacion"))</f>
        <v/>
      </c>
      <c r="N1138" s="20" t="s">
        <v>826</v>
      </c>
    </row>
    <row r="1139" spans="13:14" hidden="1" x14ac:dyDescent="0.25">
      <c r="M1139" s="20" t="str">
        <f>IF(A1139="","",IF(L1139&lt;8,"calibracion","validacion"))</f>
        <v/>
      </c>
      <c r="N1139" s="20" t="s">
        <v>826</v>
      </c>
    </row>
    <row r="1140" spans="13:14" hidden="1" x14ac:dyDescent="0.25">
      <c r="M1140" s="20" t="str">
        <f>IF(A1140="","",IF(L1140&lt;8,"calibracion","validacion"))</f>
        <v/>
      </c>
      <c r="N1140" s="20" t="s">
        <v>826</v>
      </c>
    </row>
    <row r="1141" spans="13:14" hidden="1" x14ac:dyDescent="0.25">
      <c r="M1141" s="20" t="str">
        <f>IF(A1141="","",IF(L1141&lt;8,"calibracion","validacion"))</f>
        <v/>
      </c>
      <c r="N1141" s="20" t="s">
        <v>826</v>
      </c>
    </row>
    <row r="1142" spans="13:14" hidden="1" x14ac:dyDescent="0.25">
      <c r="M1142" s="20" t="str">
        <f>IF(A1142="","",IF(L1142&lt;8,"calibracion","validacion"))</f>
        <v/>
      </c>
      <c r="N1142" s="20" t="s">
        <v>826</v>
      </c>
    </row>
    <row r="1143" spans="13:14" hidden="1" x14ac:dyDescent="0.25">
      <c r="M1143" s="20" t="str">
        <f>IF(A1143="","",IF(L1143&lt;8,"calibracion","validacion"))</f>
        <v/>
      </c>
      <c r="N1143" s="20" t="s">
        <v>826</v>
      </c>
    </row>
    <row r="1144" spans="13:14" hidden="1" x14ac:dyDescent="0.25">
      <c r="M1144" s="20" t="str">
        <f>IF(A1144="","",IF(L1144&lt;8,"calibracion","validacion"))</f>
        <v/>
      </c>
      <c r="N1144" s="20" t="s">
        <v>826</v>
      </c>
    </row>
    <row r="1145" spans="13:14" hidden="1" x14ac:dyDescent="0.25">
      <c r="M1145" s="20" t="str">
        <f>IF(A1145="","",IF(L1145&lt;8,"calibracion","validacion"))</f>
        <v/>
      </c>
      <c r="N1145" s="20" t="s">
        <v>826</v>
      </c>
    </row>
    <row r="1146" spans="13:14" hidden="1" x14ac:dyDescent="0.25">
      <c r="M1146" s="20" t="str">
        <f>IF(A1146="","",IF(L1146&lt;8,"calibracion","validacion"))</f>
        <v/>
      </c>
      <c r="N1146" s="20" t="s">
        <v>826</v>
      </c>
    </row>
    <row r="1147" spans="13:14" hidden="1" x14ac:dyDescent="0.25">
      <c r="M1147" s="20" t="str">
        <f>IF(A1147="","",IF(L1147&lt;8,"calibracion","validacion"))</f>
        <v/>
      </c>
      <c r="N1147" s="20" t="s">
        <v>826</v>
      </c>
    </row>
    <row r="1148" spans="13:14" hidden="1" x14ac:dyDescent="0.25">
      <c r="M1148" s="20" t="str">
        <f>IF(A1148="","",IF(L1148&lt;8,"calibracion","validacion"))</f>
        <v/>
      </c>
      <c r="N1148" s="20" t="s">
        <v>826</v>
      </c>
    </row>
    <row r="1149" spans="13:14" hidden="1" x14ac:dyDescent="0.25">
      <c r="M1149" s="20" t="str">
        <f>IF(A1149="","",IF(L1149&lt;8,"calibracion","validacion"))</f>
        <v/>
      </c>
      <c r="N1149" s="20" t="s">
        <v>826</v>
      </c>
    </row>
    <row r="1150" spans="13:14" hidden="1" x14ac:dyDescent="0.25">
      <c r="M1150" s="20" t="str">
        <f>IF(A1150="","",IF(L1150&lt;8,"calibracion","validacion"))</f>
        <v/>
      </c>
      <c r="N1150" s="20" t="s">
        <v>826</v>
      </c>
    </row>
    <row r="1151" spans="13:14" hidden="1" x14ac:dyDescent="0.25">
      <c r="M1151" s="20" t="str">
        <f>IF(A1151="","",IF(L1151&lt;8,"calibracion","validacion"))</f>
        <v/>
      </c>
      <c r="N1151" s="20" t="s">
        <v>826</v>
      </c>
    </row>
    <row r="1152" spans="13:14" hidden="1" x14ac:dyDescent="0.25">
      <c r="M1152" s="20" t="str">
        <f>IF(A1152="","",IF(L1152&lt;8,"calibracion","validacion"))</f>
        <v/>
      </c>
      <c r="N1152" s="20" t="s">
        <v>826</v>
      </c>
    </row>
    <row r="1153" spans="13:14" hidden="1" x14ac:dyDescent="0.25">
      <c r="M1153" s="20" t="str">
        <f>IF(A1153="","",IF(L1153&lt;8,"calibracion","validacion"))</f>
        <v/>
      </c>
      <c r="N1153" s="20" t="s">
        <v>826</v>
      </c>
    </row>
    <row r="1154" spans="13:14" hidden="1" x14ac:dyDescent="0.25">
      <c r="M1154" s="20" t="str">
        <f>IF(A1154="","",IF(L1154&lt;8,"calibracion","validacion"))</f>
        <v/>
      </c>
      <c r="N1154" s="20" t="s">
        <v>826</v>
      </c>
    </row>
    <row r="1155" spans="13:14" hidden="1" x14ac:dyDescent="0.25">
      <c r="M1155" s="20" t="str">
        <f>IF(A1155="","",IF(L1155&lt;8,"calibracion","validacion"))</f>
        <v/>
      </c>
      <c r="N1155" s="20" t="s">
        <v>826</v>
      </c>
    </row>
  </sheetData>
  <autoFilter ref="A1:N1155">
    <filterColumn colId="7">
      <customFilters>
        <customFilter operator="lessThan" val="3"/>
      </customFilters>
    </filterColumn>
    <filterColumn colId="13">
      <filters>
        <filter val="validacion"/>
      </filters>
    </filterColumn>
    <sortState ref="A2:N376">
      <sortCondition ref="C1"/>
    </sortState>
  </autoFilter>
  <sortState ref="A2:N1155">
    <sortCondition ref="H1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Bin Info</vt:lpstr>
      <vt:lpstr>Histogram</vt:lpstr>
      <vt:lpstr>Validation Data</vt:lpstr>
      <vt:lpstr>Calibration Data</vt:lpstr>
      <vt:lpstr>Calibration Set</vt:lpstr>
      <vt:lpstr>Raw Data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Blanco, Nelson E</dc:creator>
  <cp:lastModifiedBy>Blanco, Nelson E</cp:lastModifiedBy>
  <dcterms:created xsi:type="dcterms:W3CDTF">2017-05-15T20:39:31Z</dcterms:created>
  <dcterms:modified xsi:type="dcterms:W3CDTF">2017-05-16T14:29:45Z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2027705203</vt:i4>
  </property>
  <property fmtid="{D5CDD505-2E9C-101B-9397-08002B2CF9AE}" pid="3" name="_NewReviewCycle">
    <vt:lpwstr/>
  </property>
  <property fmtid="{D5CDD505-2E9C-101B-9397-08002B2CF9AE}" pid="4" name="_EmailSubject">
    <vt:lpwstr>Nelson</vt:lpwstr>
  </property>
  <property fmtid="{D5CDD505-2E9C-101B-9397-08002B2CF9AE}" pid="5" name="_AuthorEmail">
    <vt:lpwstr>nelson.e.blanco@exxonmobil.com</vt:lpwstr>
  </property>
  <property fmtid="{D5CDD505-2E9C-101B-9397-08002B2CF9AE}" pid="6" name="_AuthorEmailDisplayName">
    <vt:lpwstr>Blanco, Nelson E</vt:lpwstr>
  </property>
</Properties>
</file>