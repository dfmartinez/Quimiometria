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1.xml" ContentType="application/vnd.openxmlformats-officedocument.drawing+xml"/>
  <Override PartName="/docProps/core.xml" ContentType="application/vnd.openxmlformats-package.core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xl/externalLinks/externalLink1.xml" ContentType="application/vnd.openxmlformats-officedocument.spreadsheetml.externalLink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80" windowWidth="27795" windowHeight="12525" firstSheet="1" activeTab="5"/>
  </bookViews>
  <sheets>
    <sheet name="Bin Info" sheetId="5" state="hidden" r:id="rId1"/>
    <sheet name="Histogram" sheetId="6" r:id="rId2"/>
    <sheet name="Validation Data" sheetId="10" r:id="rId3"/>
    <sheet name="Calibration Data" sheetId="9" r:id="rId4"/>
    <sheet name="Calibration Set" sheetId="8" r:id="rId5"/>
    <sheet name="Raw Data" sheetId="1" r:id="rId6"/>
  </sheets>
  <externalReferences>
    <externalReference r:id="rId7"/>
  </externalReferences>
  <definedNames>
    <definedName name="_xlnm._FilterDatabase" localSheetId="5" hidden="1">'Raw Data'!$N$1:$N$1155</definedName>
  </definedNames>
  <calcPr calcId="145621"/>
</workbook>
</file>

<file path=xl/calcChain.xml><?xml version="1.0" encoding="utf-8"?>
<calcChain xmlns="http://schemas.openxmlformats.org/spreadsheetml/2006/main">
  <c r="M1155" i="1" l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9" i="1"/>
  <c r="M1138" i="1"/>
  <c r="M1137" i="1"/>
  <c r="M1136" i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7" i="1"/>
  <c r="M1116" i="1"/>
  <c r="M1115" i="1"/>
  <c r="M1114" i="1"/>
  <c r="M1113" i="1"/>
  <c r="M1112" i="1"/>
  <c r="M1111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L999" i="1"/>
  <c r="M998" i="1"/>
  <c r="L998" i="1"/>
  <c r="M997" i="1"/>
  <c r="L997" i="1"/>
  <c r="M996" i="1"/>
  <c r="L996" i="1"/>
  <c r="M995" i="1"/>
  <c r="L995" i="1"/>
  <c r="M994" i="1"/>
  <c r="L994" i="1"/>
  <c r="M993" i="1"/>
  <c r="L993" i="1"/>
  <c r="M992" i="1"/>
  <c r="L992" i="1"/>
  <c r="M991" i="1"/>
  <c r="L991" i="1"/>
  <c r="M990" i="1"/>
  <c r="L990" i="1"/>
  <c r="M989" i="1"/>
  <c r="L989" i="1"/>
  <c r="M988" i="1"/>
  <c r="L988" i="1"/>
  <c r="M987" i="1"/>
  <c r="L987" i="1"/>
  <c r="M986" i="1"/>
  <c r="L986" i="1"/>
  <c r="M985" i="1"/>
  <c r="L985" i="1"/>
  <c r="M984" i="1"/>
  <c r="L984" i="1"/>
  <c r="M983" i="1"/>
  <c r="L983" i="1"/>
  <c r="M982" i="1"/>
  <c r="L982" i="1"/>
  <c r="M981" i="1"/>
  <c r="L981" i="1"/>
  <c r="M980" i="1"/>
  <c r="L980" i="1"/>
  <c r="M979" i="1"/>
  <c r="L979" i="1"/>
  <c r="M978" i="1"/>
  <c r="L978" i="1"/>
  <c r="M977" i="1"/>
  <c r="L977" i="1"/>
  <c r="M976" i="1"/>
  <c r="L976" i="1"/>
  <c r="M975" i="1"/>
  <c r="L975" i="1"/>
  <c r="M974" i="1"/>
  <c r="L974" i="1"/>
  <c r="M973" i="1"/>
  <c r="L973" i="1"/>
  <c r="M972" i="1"/>
  <c r="L972" i="1"/>
  <c r="M971" i="1"/>
  <c r="L971" i="1"/>
  <c r="M970" i="1"/>
  <c r="L970" i="1"/>
  <c r="M969" i="1"/>
  <c r="L969" i="1"/>
  <c r="M968" i="1"/>
  <c r="L968" i="1"/>
  <c r="M967" i="1"/>
  <c r="L967" i="1"/>
  <c r="M966" i="1"/>
  <c r="L966" i="1"/>
  <c r="M965" i="1"/>
  <c r="L965" i="1"/>
  <c r="M964" i="1"/>
  <c r="L964" i="1"/>
  <c r="M963" i="1"/>
  <c r="L963" i="1"/>
  <c r="M962" i="1"/>
  <c r="L962" i="1"/>
  <c r="M961" i="1"/>
  <c r="L961" i="1"/>
  <c r="M960" i="1"/>
  <c r="L960" i="1"/>
  <c r="M959" i="1"/>
  <c r="L959" i="1"/>
  <c r="M958" i="1"/>
  <c r="L958" i="1"/>
  <c r="M957" i="1"/>
  <c r="L957" i="1"/>
  <c r="M956" i="1"/>
  <c r="L956" i="1"/>
  <c r="M955" i="1"/>
  <c r="L955" i="1"/>
  <c r="M954" i="1"/>
  <c r="L954" i="1"/>
  <c r="M953" i="1"/>
  <c r="L953" i="1"/>
  <c r="M952" i="1"/>
  <c r="L952" i="1"/>
  <c r="M951" i="1"/>
  <c r="L951" i="1"/>
  <c r="M950" i="1"/>
  <c r="L950" i="1"/>
  <c r="M949" i="1"/>
  <c r="L949" i="1"/>
  <c r="M948" i="1"/>
  <c r="L948" i="1"/>
  <c r="M947" i="1"/>
  <c r="L947" i="1"/>
  <c r="M946" i="1"/>
  <c r="L946" i="1"/>
  <c r="M945" i="1"/>
  <c r="L945" i="1"/>
  <c r="M944" i="1"/>
  <c r="L944" i="1"/>
  <c r="M943" i="1"/>
  <c r="L943" i="1"/>
  <c r="M942" i="1"/>
  <c r="L942" i="1"/>
  <c r="M941" i="1"/>
  <c r="L941" i="1"/>
  <c r="M940" i="1"/>
  <c r="L940" i="1"/>
  <c r="M939" i="1"/>
  <c r="L939" i="1"/>
  <c r="M938" i="1"/>
  <c r="L938" i="1"/>
  <c r="M937" i="1"/>
  <c r="L937" i="1"/>
  <c r="M936" i="1"/>
  <c r="L936" i="1"/>
  <c r="M935" i="1"/>
  <c r="L935" i="1"/>
  <c r="M934" i="1"/>
  <c r="L934" i="1"/>
  <c r="M933" i="1"/>
  <c r="L933" i="1"/>
  <c r="M932" i="1"/>
  <c r="L932" i="1"/>
  <c r="M931" i="1"/>
  <c r="L931" i="1"/>
  <c r="M930" i="1"/>
  <c r="L930" i="1"/>
  <c r="M929" i="1"/>
  <c r="L929" i="1"/>
  <c r="M928" i="1"/>
  <c r="L928" i="1"/>
  <c r="M927" i="1"/>
  <c r="L927" i="1"/>
  <c r="M926" i="1"/>
  <c r="L926" i="1"/>
  <c r="M925" i="1"/>
  <c r="L925" i="1"/>
  <c r="M924" i="1"/>
  <c r="L924" i="1"/>
  <c r="M923" i="1"/>
  <c r="L923" i="1"/>
  <c r="M922" i="1"/>
  <c r="L922" i="1"/>
  <c r="M921" i="1"/>
  <c r="L921" i="1"/>
  <c r="M920" i="1"/>
  <c r="L920" i="1"/>
  <c r="M919" i="1"/>
  <c r="L919" i="1"/>
  <c r="M918" i="1"/>
  <c r="L918" i="1"/>
  <c r="M917" i="1"/>
  <c r="L917" i="1"/>
  <c r="M916" i="1"/>
  <c r="L916" i="1"/>
  <c r="M915" i="1"/>
  <c r="L915" i="1"/>
  <c r="M914" i="1"/>
  <c r="L914" i="1"/>
  <c r="M913" i="1"/>
  <c r="L913" i="1"/>
  <c r="M912" i="1"/>
  <c r="L912" i="1"/>
  <c r="M911" i="1"/>
  <c r="L911" i="1"/>
  <c r="M910" i="1"/>
  <c r="L910" i="1"/>
  <c r="M909" i="1"/>
  <c r="L909" i="1"/>
  <c r="M908" i="1"/>
  <c r="L908" i="1"/>
  <c r="M907" i="1"/>
  <c r="L907" i="1"/>
  <c r="M906" i="1"/>
  <c r="L906" i="1"/>
  <c r="M905" i="1"/>
  <c r="L905" i="1"/>
  <c r="M904" i="1"/>
  <c r="L904" i="1"/>
  <c r="M903" i="1"/>
  <c r="L903" i="1"/>
  <c r="M902" i="1"/>
  <c r="L902" i="1"/>
  <c r="M901" i="1"/>
  <c r="L901" i="1"/>
  <c r="M900" i="1"/>
  <c r="L900" i="1"/>
  <c r="M899" i="1"/>
  <c r="L899" i="1"/>
  <c r="M898" i="1"/>
  <c r="L898" i="1"/>
  <c r="M897" i="1"/>
  <c r="L897" i="1"/>
  <c r="M896" i="1"/>
  <c r="L896" i="1"/>
  <c r="M895" i="1"/>
  <c r="L895" i="1"/>
  <c r="M894" i="1"/>
  <c r="L894" i="1"/>
  <c r="M893" i="1"/>
  <c r="L893" i="1"/>
  <c r="M892" i="1"/>
  <c r="L892" i="1"/>
  <c r="M891" i="1"/>
  <c r="L891" i="1"/>
  <c r="M890" i="1"/>
  <c r="L890" i="1"/>
  <c r="M889" i="1"/>
  <c r="L889" i="1"/>
  <c r="M888" i="1"/>
  <c r="L888" i="1"/>
  <c r="M887" i="1"/>
  <c r="L887" i="1"/>
  <c r="M886" i="1"/>
  <c r="L886" i="1"/>
  <c r="M885" i="1"/>
  <c r="L885" i="1"/>
  <c r="M884" i="1"/>
  <c r="L884" i="1"/>
  <c r="M883" i="1"/>
  <c r="L883" i="1"/>
  <c r="M882" i="1"/>
  <c r="L882" i="1"/>
  <c r="M881" i="1"/>
  <c r="L881" i="1"/>
  <c r="M880" i="1"/>
  <c r="L880" i="1"/>
  <c r="M879" i="1"/>
  <c r="L879" i="1"/>
  <c r="M878" i="1"/>
  <c r="L878" i="1"/>
  <c r="M877" i="1"/>
  <c r="L877" i="1"/>
  <c r="M876" i="1"/>
  <c r="L876" i="1"/>
  <c r="M875" i="1"/>
  <c r="L875" i="1"/>
  <c r="M874" i="1"/>
  <c r="L874" i="1"/>
  <c r="M873" i="1"/>
  <c r="L873" i="1"/>
  <c r="M872" i="1"/>
  <c r="L872" i="1"/>
  <c r="M871" i="1"/>
  <c r="L871" i="1"/>
  <c r="M870" i="1"/>
  <c r="L870" i="1"/>
  <c r="M869" i="1"/>
  <c r="L869" i="1"/>
  <c r="M868" i="1"/>
  <c r="L868" i="1"/>
  <c r="M867" i="1"/>
  <c r="L867" i="1"/>
  <c r="M866" i="1"/>
  <c r="L866" i="1"/>
  <c r="M865" i="1"/>
  <c r="L865" i="1"/>
  <c r="M864" i="1"/>
  <c r="L864" i="1"/>
  <c r="M863" i="1"/>
  <c r="L863" i="1"/>
  <c r="M862" i="1"/>
  <c r="L862" i="1"/>
  <c r="M861" i="1"/>
  <c r="L861" i="1"/>
  <c r="M860" i="1"/>
  <c r="L860" i="1"/>
  <c r="M859" i="1"/>
  <c r="L859" i="1"/>
  <c r="M858" i="1"/>
  <c r="L858" i="1"/>
  <c r="M857" i="1"/>
  <c r="L857" i="1"/>
  <c r="M856" i="1"/>
  <c r="L856" i="1"/>
  <c r="M855" i="1"/>
  <c r="L855" i="1"/>
  <c r="M854" i="1"/>
  <c r="L854" i="1"/>
  <c r="M853" i="1"/>
  <c r="L853" i="1"/>
  <c r="M852" i="1"/>
  <c r="L852" i="1"/>
  <c r="M851" i="1"/>
  <c r="L851" i="1"/>
  <c r="M850" i="1"/>
  <c r="L850" i="1"/>
  <c r="M849" i="1"/>
  <c r="L849" i="1"/>
  <c r="M848" i="1"/>
  <c r="L848" i="1"/>
  <c r="M847" i="1"/>
  <c r="L847" i="1"/>
  <c r="M846" i="1"/>
  <c r="L846" i="1"/>
  <c r="M845" i="1"/>
  <c r="L845" i="1"/>
  <c r="M844" i="1"/>
  <c r="L844" i="1"/>
  <c r="M843" i="1"/>
  <c r="L843" i="1"/>
  <c r="M842" i="1"/>
  <c r="L842" i="1"/>
  <c r="M841" i="1"/>
  <c r="L841" i="1"/>
  <c r="M840" i="1"/>
  <c r="L840" i="1"/>
  <c r="M839" i="1"/>
  <c r="L839" i="1"/>
  <c r="M838" i="1"/>
  <c r="L838" i="1"/>
  <c r="M837" i="1"/>
  <c r="L837" i="1"/>
  <c r="M836" i="1"/>
  <c r="L836" i="1"/>
  <c r="M835" i="1"/>
  <c r="L835" i="1"/>
  <c r="M834" i="1"/>
  <c r="L834" i="1"/>
  <c r="M833" i="1"/>
  <c r="L833" i="1"/>
  <c r="M832" i="1"/>
  <c r="L832" i="1"/>
  <c r="M831" i="1"/>
  <c r="L831" i="1"/>
  <c r="M830" i="1"/>
  <c r="L830" i="1"/>
  <c r="M829" i="1"/>
  <c r="L829" i="1"/>
  <c r="M828" i="1"/>
  <c r="L828" i="1"/>
  <c r="M827" i="1"/>
  <c r="L827" i="1"/>
  <c r="M826" i="1"/>
  <c r="L826" i="1"/>
  <c r="M825" i="1"/>
  <c r="L825" i="1"/>
  <c r="M824" i="1"/>
  <c r="L824" i="1"/>
  <c r="M823" i="1"/>
  <c r="L823" i="1"/>
  <c r="M822" i="1"/>
  <c r="L822" i="1"/>
  <c r="M821" i="1"/>
  <c r="L821" i="1"/>
  <c r="M820" i="1"/>
  <c r="L820" i="1"/>
  <c r="M819" i="1"/>
  <c r="L819" i="1"/>
  <c r="M818" i="1"/>
  <c r="L818" i="1"/>
  <c r="M817" i="1"/>
  <c r="L817" i="1"/>
  <c r="M816" i="1"/>
  <c r="L816" i="1"/>
  <c r="M815" i="1"/>
  <c r="L815" i="1"/>
  <c r="M814" i="1"/>
  <c r="L814" i="1"/>
  <c r="M813" i="1"/>
  <c r="L813" i="1"/>
  <c r="M812" i="1"/>
  <c r="L812" i="1"/>
  <c r="M811" i="1"/>
  <c r="L811" i="1"/>
  <c r="M810" i="1"/>
  <c r="L810" i="1"/>
  <c r="M809" i="1"/>
  <c r="L809" i="1"/>
  <c r="M808" i="1"/>
  <c r="L808" i="1"/>
  <c r="M807" i="1"/>
  <c r="L807" i="1"/>
  <c r="M806" i="1"/>
  <c r="L806" i="1"/>
  <c r="M805" i="1"/>
  <c r="L805" i="1"/>
  <c r="M804" i="1"/>
  <c r="L804" i="1"/>
  <c r="M803" i="1"/>
  <c r="L803" i="1"/>
  <c r="M802" i="1"/>
  <c r="L802" i="1"/>
  <c r="M801" i="1"/>
  <c r="L801" i="1"/>
  <c r="M800" i="1"/>
  <c r="L800" i="1"/>
  <c r="M799" i="1"/>
  <c r="L799" i="1"/>
  <c r="M798" i="1"/>
  <c r="L798" i="1"/>
  <c r="M797" i="1"/>
  <c r="L797" i="1"/>
  <c r="M796" i="1"/>
  <c r="L796" i="1"/>
  <c r="M795" i="1"/>
  <c r="L795" i="1"/>
  <c r="M794" i="1"/>
  <c r="L794" i="1"/>
  <c r="M793" i="1"/>
  <c r="L793" i="1"/>
  <c r="M792" i="1"/>
  <c r="L792" i="1"/>
  <c r="M791" i="1"/>
  <c r="L791" i="1"/>
  <c r="M790" i="1"/>
  <c r="L790" i="1"/>
  <c r="M789" i="1"/>
  <c r="L789" i="1"/>
  <c r="M788" i="1"/>
  <c r="L788" i="1"/>
  <c r="M787" i="1"/>
  <c r="L787" i="1"/>
  <c r="M786" i="1"/>
  <c r="L786" i="1"/>
  <c r="M785" i="1"/>
  <c r="L785" i="1"/>
  <c r="M784" i="1"/>
  <c r="L784" i="1"/>
  <c r="M783" i="1"/>
  <c r="L783" i="1"/>
  <c r="M782" i="1"/>
  <c r="L782" i="1"/>
  <c r="M781" i="1"/>
  <c r="L781" i="1"/>
  <c r="M780" i="1"/>
  <c r="L780" i="1"/>
  <c r="M779" i="1"/>
  <c r="L779" i="1"/>
  <c r="M778" i="1"/>
  <c r="L778" i="1"/>
  <c r="M777" i="1"/>
  <c r="L777" i="1"/>
  <c r="M776" i="1"/>
  <c r="L776" i="1"/>
  <c r="M775" i="1"/>
  <c r="L775" i="1"/>
  <c r="M774" i="1"/>
  <c r="L774" i="1"/>
  <c r="M773" i="1"/>
  <c r="L773" i="1"/>
  <c r="M772" i="1"/>
  <c r="L772" i="1"/>
  <c r="M771" i="1"/>
  <c r="L771" i="1"/>
  <c r="M770" i="1"/>
  <c r="L770" i="1"/>
  <c r="M769" i="1"/>
  <c r="L769" i="1"/>
  <c r="M768" i="1"/>
  <c r="L768" i="1"/>
  <c r="M767" i="1"/>
  <c r="L767" i="1"/>
  <c r="M766" i="1"/>
  <c r="L766" i="1"/>
  <c r="M765" i="1"/>
  <c r="L765" i="1"/>
  <c r="M764" i="1"/>
  <c r="L764" i="1"/>
  <c r="M763" i="1"/>
  <c r="L763" i="1"/>
  <c r="M762" i="1"/>
  <c r="L762" i="1"/>
  <c r="M761" i="1"/>
  <c r="L761" i="1"/>
  <c r="M760" i="1"/>
  <c r="L760" i="1"/>
  <c r="M759" i="1"/>
  <c r="L759" i="1"/>
  <c r="M758" i="1"/>
  <c r="L758" i="1"/>
  <c r="M757" i="1"/>
  <c r="L757" i="1"/>
  <c r="M756" i="1"/>
  <c r="L756" i="1"/>
  <c r="M755" i="1"/>
  <c r="L755" i="1"/>
  <c r="M754" i="1"/>
  <c r="L754" i="1"/>
  <c r="M753" i="1"/>
  <c r="L753" i="1"/>
  <c r="M752" i="1"/>
  <c r="L752" i="1"/>
  <c r="M751" i="1"/>
  <c r="L751" i="1"/>
  <c r="M750" i="1"/>
  <c r="L750" i="1"/>
  <c r="M749" i="1"/>
  <c r="L749" i="1"/>
  <c r="M748" i="1"/>
  <c r="L748" i="1"/>
  <c r="M747" i="1"/>
  <c r="L747" i="1"/>
  <c r="M746" i="1"/>
  <c r="L746" i="1"/>
  <c r="M745" i="1"/>
  <c r="L745" i="1"/>
  <c r="M744" i="1"/>
  <c r="L744" i="1"/>
  <c r="M743" i="1"/>
  <c r="L743" i="1"/>
  <c r="M742" i="1"/>
  <c r="L742" i="1"/>
  <c r="M741" i="1"/>
  <c r="L741" i="1"/>
  <c r="M740" i="1"/>
  <c r="L740" i="1"/>
  <c r="M739" i="1"/>
  <c r="L739" i="1"/>
  <c r="M738" i="1"/>
  <c r="L738" i="1"/>
  <c r="M737" i="1"/>
  <c r="L737" i="1"/>
  <c r="M736" i="1"/>
  <c r="L736" i="1"/>
  <c r="M735" i="1"/>
  <c r="L735" i="1"/>
  <c r="M734" i="1"/>
  <c r="L734" i="1"/>
  <c r="M733" i="1"/>
  <c r="L733" i="1"/>
  <c r="M732" i="1"/>
  <c r="L732" i="1"/>
  <c r="M731" i="1"/>
  <c r="L731" i="1"/>
  <c r="M730" i="1"/>
  <c r="L730" i="1"/>
  <c r="M729" i="1"/>
  <c r="L729" i="1"/>
  <c r="M728" i="1"/>
  <c r="L728" i="1"/>
  <c r="M727" i="1"/>
  <c r="L727" i="1"/>
  <c r="M726" i="1"/>
  <c r="L726" i="1"/>
  <c r="M725" i="1"/>
  <c r="L725" i="1"/>
  <c r="M724" i="1"/>
  <c r="L724" i="1"/>
  <c r="M723" i="1"/>
  <c r="L723" i="1"/>
  <c r="M722" i="1"/>
  <c r="L722" i="1"/>
  <c r="M721" i="1"/>
  <c r="L721" i="1"/>
  <c r="M720" i="1"/>
  <c r="L720" i="1"/>
  <c r="M719" i="1"/>
  <c r="L719" i="1"/>
  <c r="M718" i="1"/>
  <c r="L718" i="1"/>
  <c r="M717" i="1"/>
  <c r="L717" i="1"/>
  <c r="M716" i="1"/>
  <c r="L716" i="1"/>
  <c r="M715" i="1"/>
  <c r="L715" i="1"/>
  <c r="M714" i="1"/>
  <c r="L714" i="1"/>
  <c r="M713" i="1"/>
  <c r="L713" i="1"/>
  <c r="M712" i="1"/>
  <c r="L712" i="1"/>
  <c r="M711" i="1"/>
  <c r="L711" i="1"/>
  <c r="M710" i="1"/>
  <c r="L710" i="1"/>
  <c r="M709" i="1"/>
  <c r="L709" i="1"/>
  <c r="M708" i="1"/>
  <c r="L708" i="1"/>
  <c r="M707" i="1"/>
  <c r="L707" i="1"/>
  <c r="M706" i="1"/>
  <c r="L706" i="1"/>
  <c r="M705" i="1"/>
  <c r="L705" i="1"/>
  <c r="M704" i="1"/>
  <c r="L704" i="1"/>
  <c r="M703" i="1"/>
  <c r="L703" i="1"/>
  <c r="M702" i="1"/>
  <c r="L702" i="1"/>
  <c r="M701" i="1"/>
  <c r="L701" i="1"/>
  <c r="M700" i="1"/>
  <c r="L700" i="1"/>
  <c r="M699" i="1"/>
  <c r="L699" i="1"/>
  <c r="M698" i="1"/>
  <c r="L698" i="1"/>
  <c r="M697" i="1"/>
  <c r="L697" i="1"/>
  <c r="M696" i="1"/>
  <c r="L696" i="1"/>
  <c r="M695" i="1"/>
  <c r="L695" i="1"/>
  <c r="M694" i="1"/>
  <c r="L694" i="1"/>
  <c r="M693" i="1"/>
  <c r="L693" i="1"/>
  <c r="M692" i="1"/>
  <c r="L692" i="1"/>
  <c r="M691" i="1"/>
  <c r="L691" i="1"/>
  <c r="M690" i="1"/>
  <c r="L690" i="1"/>
  <c r="M689" i="1"/>
  <c r="L689" i="1"/>
  <c r="M688" i="1"/>
  <c r="L688" i="1"/>
  <c r="M687" i="1"/>
  <c r="L687" i="1"/>
  <c r="M686" i="1"/>
  <c r="L686" i="1"/>
  <c r="M685" i="1"/>
  <c r="L685" i="1"/>
  <c r="M684" i="1"/>
  <c r="L684" i="1"/>
  <c r="M683" i="1"/>
  <c r="L683" i="1"/>
  <c r="M682" i="1"/>
  <c r="L682" i="1"/>
  <c r="M681" i="1"/>
  <c r="L681" i="1"/>
  <c r="M680" i="1"/>
  <c r="L680" i="1"/>
  <c r="M679" i="1"/>
  <c r="L679" i="1"/>
  <c r="M678" i="1"/>
  <c r="L678" i="1"/>
  <c r="M677" i="1"/>
  <c r="L677" i="1"/>
  <c r="M676" i="1"/>
  <c r="L676" i="1"/>
  <c r="M675" i="1"/>
  <c r="L675" i="1"/>
  <c r="M674" i="1"/>
  <c r="L674" i="1"/>
  <c r="M673" i="1"/>
  <c r="L673" i="1"/>
  <c r="M672" i="1"/>
  <c r="L672" i="1"/>
  <c r="M671" i="1"/>
  <c r="L671" i="1"/>
  <c r="M670" i="1"/>
  <c r="L670" i="1"/>
  <c r="M669" i="1"/>
  <c r="L669" i="1"/>
  <c r="M668" i="1"/>
  <c r="L668" i="1"/>
  <c r="M667" i="1"/>
  <c r="L667" i="1"/>
  <c r="M666" i="1"/>
  <c r="L666" i="1"/>
  <c r="M665" i="1"/>
  <c r="L665" i="1"/>
  <c r="M664" i="1"/>
  <c r="L664" i="1"/>
  <c r="M663" i="1"/>
  <c r="L663" i="1"/>
  <c r="M662" i="1"/>
  <c r="L662" i="1"/>
  <c r="M661" i="1"/>
  <c r="L661" i="1"/>
  <c r="M660" i="1"/>
  <c r="L660" i="1"/>
  <c r="M659" i="1"/>
  <c r="L659" i="1"/>
  <c r="M658" i="1"/>
  <c r="L658" i="1"/>
  <c r="M657" i="1"/>
  <c r="L657" i="1"/>
  <c r="M656" i="1"/>
  <c r="L656" i="1"/>
  <c r="M655" i="1"/>
  <c r="L655" i="1"/>
  <c r="M654" i="1"/>
  <c r="L654" i="1"/>
  <c r="M653" i="1"/>
  <c r="L653" i="1"/>
  <c r="M652" i="1"/>
  <c r="L652" i="1"/>
  <c r="M651" i="1"/>
  <c r="L651" i="1"/>
  <c r="M650" i="1"/>
  <c r="L650" i="1"/>
  <c r="M649" i="1"/>
  <c r="L649" i="1"/>
  <c r="M648" i="1"/>
  <c r="L648" i="1"/>
  <c r="M647" i="1"/>
  <c r="L647" i="1"/>
  <c r="M646" i="1"/>
  <c r="L646" i="1"/>
  <c r="M645" i="1"/>
  <c r="L645" i="1"/>
  <c r="M644" i="1"/>
  <c r="L644" i="1"/>
  <c r="M643" i="1"/>
  <c r="L643" i="1"/>
  <c r="M642" i="1"/>
  <c r="L642" i="1"/>
  <c r="M641" i="1"/>
  <c r="L641" i="1"/>
  <c r="M640" i="1"/>
  <c r="L640" i="1"/>
  <c r="M639" i="1"/>
  <c r="L639" i="1"/>
  <c r="M638" i="1"/>
  <c r="L638" i="1"/>
  <c r="M637" i="1"/>
  <c r="L637" i="1"/>
  <c r="M636" i="1"/>
  <c r="L636" i="1"/>
  <c r="M635" i="1"/>
  <c r="L635" i="1"/>
  <c r="M634" i="1"/>
  <c r="L634" i="1"/>
  <c r="M633" i="1"/>
  <c r="L633" i="1"/>
  <c r="M632" i="1"/>
  <c r="L632" i="1"/>
  <c r="M631" i="1"/>
  <c r="L631" i="1"/>
  <c r="M630" i="1"/>
  <c r="L630" i="1"/>
  <c r="M629" i="1"/>
  <c r="L629" i="1"/>
  <c r="M628" i="1"/>
  <c r="L628" i="1"/>
  <c r="M627" i="1"/>
  <c r="L627" i="1"/>
  <c r="M626" i="1"/>
  <c r="L626" i="1"/>
  <c r="M625" i="1"/>
  <c r="L625" i="1"/>
  <c r="M624" i="1"/>
  <c r="L624" i="1"/>
  <c r="M623" i="1"/>
  <c r="L623" i="1"/>
  <c r="M622" i="1"/>
  <c r="L622" i="1"/>
  <c r="M621" i="1"/>
  <c r="L621" i="1"/>
  <c r="M620" i="1"/>
  <c r="L620" i="1"/>
  <c r="M619" i="1"/>
  <c r="L619" i="1"/>
  <c r="M618" i="1"/>
  <c r="L618" i="1"/>
  <c r="M617" i="1"/>
  <c r="L617" i="1"/>
  <c r="M616" i="1"/>
  <c r="L616" i="1"/>
  <c r="M615" i="1"/>
  <c r="L615" i="1"/>
  <c r="M614" i="1"/>
  <c r="L614" i="1"/>
  <c r="M613" i="1"/>
  <c r="L613" i="1"/>
  <c r="M612" i="1"/>
  <c r="L612" i="1"/>
  <c r="M611" i="1"/>
  <c r="L611" i="1"/>
  <c r="M610" i="1"/>
  <c r="L610" i="1"/>
  <c r="M609" i="1"/>
  <c r="L609" i="1"/>
  <c r="M608" i="1"/>
  <c r="L608" i="1"/>
  <c r="M607" i="1"/>
  <c r="L607" i="1"/>
  <c r="M606" i="1"/>
  <c r="L606" i="1"/>
  <c r="M605" i="1"/>
  <c r="L605" i="1"/>
  <c r="M604" i="1"/>
  <c r="L604" i="1"/>
  <c r="M603" i="1"/>
  <c r="L603" i="1"/>
  <c r="M602" i="1"/>
  <c r="L602" i="1"/>
  <c r="M601" i="1"/>
  <c r="L601" i="1"/>
  <c r="M600" i="1"/>
  <c r="L600" i="1"/>
  <c r="M599" i="1"/>
  <c r="L599" i="1"/>
  <c r="M598" i="1"/>
  <c r="L598" i="1"/>
  <c r="M597" i="1"/>
  <c r="L597" i="1"/>
  <c r="M596" i="1"/>
  <c r="L596" i="1"/>
  <c r="M595" i="1"/>
  <c r="L595" i="1"/>
  <c r="M594" i="1"/>
  <c r="L594" i="1"/>
  <c r="M593" i="1"/>
  <c r="L593" i="1"/>
  <c r="M592" i="1"/>
  <c r="L592" i="1"/>
  <c r="M591" i="1"/>
  <c r="L591" i="1"/>
  <c r="M590" i="1"/>
  <c r="L590" i="1"/>
  <c r="M589" i="1"/>
  <c r="L589" i="1"/>
  <c r="M588" i="1"/>
  <c r="L588" i="1"/>
  <c r="M587" i="1"/>
  <c r="L587" i="1"/>
  <c r="M586" i="1"/>
  <c r="L586" i="1"/>
  <c r="M585" i="1"/>
  <c r="L585" i="1"/>
  <c r="M584" i="1"/>
  <c r="L584" i="1"/>
  <c r="M583" i="1"/>
  <c r="L583" i="1"/>
  <c r="M582" i="1"/>
  <c r="L582" i="1"/>
  <c r="M581" i="1"/>
  <c r="L581" i="1"/>
  <c r="M580" i="1"/>
  <c r="L580" i="1"/>
  <c r="M579" i="1"/>
  <c r="L579" i="1"/>
  <c r="M578" i="1"/>
  <c r="L578" i="1"/>
  <c r="M577" i="1"/>
  <c r="L577" i="1"/>
  <c r="M576" i="1"/>
  <c r="L576" i="1"/>
  <c r="M575" i="1"/>
  <c r="L575" i="1"/>
  <c r="M574" i="1"/>
  <c r="L574" i="1"/>
  <c r="M573" i="1"/>
  <c r="L573" i="1"/>
  <c r="M572" i="1"/>
  <c r="L572" i="1"/>
  <c r="M571" i="1"/>
  <c r="L571" i="1"/>
  <c r="M570" i="1"/>
  <c r="L570" i="1"/>
  <c r="M569" i="1"/>
  <c r="L569" i="1"/>
  <c r="M568" i="1"/>
  <c r="L568" i="1"/>
  <c r="M567" i="1"/>
  <c r="L567" i="1"/>
  <c r="M566" i="1"/>
  <c r="L566" i="1"/>
  <c r="M565" i="1"/>
  <c r="L565" i="1"/>
  <c r="M564" i="1"/>
  <c r="L564" i="1"/>
  <c r="M563" i="1"/>
  <c r="L563" i="1"/>
  <c r="M562" i="1"/>
  <c r="L562" i="1"/>
  <c r="M561" i="1"/>
  <c r="L561" i="1"/>
  <c r="M560" i="1"/>
  <c r="L560" i="1"/>
  <c r="M559" i="1"/>
  <c r="L559" i="1"/>
  <c r="M558" i="1"/>
  <c r="L558" i="1"/>
  <c r="M557" i="1"/>
  <c r="L557" i="1"/>
  <c r="M556" i="1"/>
  <c r="L556" i="1"/>
  <c r="M555" i="1"/>
  <c r="L555" i="1"/>
  <c r="M554" i="1"/>
  <c r="L554" i="1"/>
  <c r="M553" i="1"/>
  <c r="L553" i="1"/>
  <c r="M552" i="1"/>
  <c r="L552" i="1"/>
  <c r="M551" i="1"/>
  <c r="L551" i="1"/>
  <c r="M550" i="1"/>
  <c r="L550" i="1"/>
  <c r="M549" i="1"/>
  <c r="L549" i="1"/>
  <c r="M548" i="1"/>
  <c r="L548" i="1"/>
  <c r="M547" i="1"/>
  <c r="L547" i="1"/>
  <c r="M546" i="1"/>
  <c r="L546" i="1"/>
  <c r="M545" i="1"/>
  <c r="L545" i="1"/>
  <c r="M544" i="1"/>
  <c r="L544" i="1"/>
  <c r="M543" i="1"/>
  <c r="L543" i="1"/>
  <c r="M542" i="1"/>
  <c r="L542" i="1"/>
  <c r="M541" i="1"/>
  <c r="L541" i="1"/>
  <c r="M540" i="1"/>
  <c r="L540" i="1"/>
  <c r="M539" i="1"/>
  <c r="L539" i="1"/>
  <c r="M538" i="1"/>
  <c r="L538" i="1"/>
  <c r="M537" i="1"/>
  <c r="L537" i="1"/>
  <c r="M536" i="1"/>
  <c r="L536" i="1"/>
  <c r="M535" i="1"/>
  <c r="L535" i="1"/>
  <c r="M534" i="1"/>
  <c r="L534" i="1"/>
  <c r="M533" i="1"/>
  <c r="L533" i="1"/>
  <c r="M532" i="1"/>
  <c r="L532" i="1"/>
  <c r="M531" i="1"/>
  <c r="L531" i="1"/>
  <c r="M530" i="1"/>
  <c r="L530" i="1"/>
  <c r="M529" i="1"/>
  <c r="L529" i="1"/>
  <c r="M528" i="1"/>
  <c r="L528" i="1"/>
  <c r="M527" i="1"/>
  <c r="L527" i="1"/>
  <c r="M526" i="1"/>
  <c r="L526" i="1"/>
  <c r="M525" i="1"/>
  <c r="L525" i="1"/>
  <c r="M524" i="1"/>
  <c r="L524" i="1"/>
  <c r="M523" i="1"/>
  <c r="L523" i="1"/>
  <c r="M522" i="1"/>
  <c r="L522" i="1"/>
  <c r="M521" i="1"/>
  <c r="L521" i="1"/>
  <c r="M520" i="1"/>
  <c r="L520" i="1"/>
  <c r="M519" i="1"/>
  <c r="L519" i="1"/>
  <c r="M518" i="1"/>
  <c r="L518" i="1"/>
  <c r="M517" i="1"/>
  <c r="L517" i="1"/>
  <c r="M516" i="1"/>
  <c r="L516" i="1"/>
  <c r="M515" i="1"/>
  <c r="L515" i="1"/>
  <c r="M514" i="1"/>
  <c r="L514" i="1"/>
  <c r="M513" i="1"/>
  <c r="L513" i="1"/>
  <c r="M512" i="1"/>
  <c r="L512" i="1"/>
  <c r="M511" i="1"/>
  <c r="L511" i="1"/>
  <c r="M510" i="1"/>
  <c r="L510" i="1"/>
  <c r="M509" i="1"/>
  <c r="L509" i="1"/>
  <c r="M508" i="1"/>
  <c r="L508" i="1"/>
  <c r="M507" i="1"/>
  <c r="L507" i="1"/>
  <c r="M506" i="1"/>
  <c r="L506" i="1"/>
  <c r="M505" i="1"/>
  <c r="L505" i="1"/>
  <c r="M504" i="1"/>
  <c r="L504" i="1"/>
  <c r="M503" i="1"/>
  <c r="L503" i="1"/>
  <c r="M502" i="1"/>
  <c r="L502" i="1"/>
  <c r="M501" i="1"/>
  <c r="L501" i="1"/>
  <c r="M500" i="1"/>
  <c r="L500" i="1"/>
  <c r="K500" i="1"/>
  <c r="M499" i="1"/>
  <c r="L499" i="1"/>
  <c r="K499" i="1"/>
  <c r="M498" i="1"/>
  <c r="L498" i="1"/>
  <c r="K498" i="1"/>
  <c r="M497" i="1"/>
  <c r="L497" i="1"/>
  <c r="K497" i="1"/>
  <c r="M496" i="1"/>
  <c r="L496" i="1"/>
  <c r="K496" i="1"/>
  <c r="M495" i="1"/>
  <c r="L495" i="1"/>
  <c r="K495" i="1"/>
  <c r="M494" i="1"/>
  <c r="L494" i="1"/>
  <c r="K494" i="1"/>
  <c r="M493" i="1"/>
  <c r="L493" i="1"/>
  <c r="K493" i="1"/>
  <c r="M492" i="1"/>
  <c r="L492" i="1"/>
  <c r="K492" i="1"/>
  <c r="M491" i="1"/>
  <c r="L491" i="1"/>
  <c r="K491" i="1"/>
  <c r="M490" i="1"/>
  <c r="L490" i="1"/>
  <c r="K490" i="1"/>
  <c r="M489" i="1"/>
  <c r="L489" i="1"/>
  <c r="K489" i="1"/>
  <c r="M488" i="1"/>
  <c r="L488" i="1"/>
  <c r="K488" i="1"/>
  <c r="M487" i="1"/>
  <c r="L487" i="1"/>
  <c r="K487" i="1"/>
  <c r="M486" i="1"/>
  <c r="L486" i="1"/>
  <c r="K486" i="1"/>
  <c r="M485" i="1"/>
  <c r="L485" i="1"/>
  <c r="K485" i="1"/>
  <c r="M484" i="1"/>
  <c r="L484" i="1"/>
  <c r="K484" i="1"/>
  <c r="M483" i="1"/>
  <c r="L483" i="1"/>
  <c r="K483" i="1"/>
  <c r="M482" i="1"/>
  <c r="L482" i="1"/>
  <c r="K482" i="1"/>
  <c r="M481" i="1"/>
  <c r="L481" i="1"/>
  <c r="K481" i="1"/>
  <c r="M480" i="1"/>
  <c r="L480" i="1"/>
  <c r="K480" i="1"/>
  <c r="M479" i="1"/>
  <c r="L479" i="1"/>
  <c r="K479" i="1"/>
  <c r="M478" i="1"/>
  <c r="L478" i="1"/>
  <c r="K478" i="1"/>
  <c r="M477" i="1"/>
  <c r="L477" i="1"/>
  <c r="K477" i="1"/>
  <c r="M476" i="1"/>
  <c r="L476" i="1"/>
  <c r="K476" i="1"/>
  <c r="M475" i="1"/>
  <c r="L475" i="1"/>
  <c r="K475" i="1"/>
  <c r="M474" i="1"/>
  <c r="L474" i="1"/>
  <c r="K474" i="1"/>
  <c r="M473" i="1"/>
  <c r="L473" i="1"/>
  <c r="K473" i="1"/>
  <c r="M472" i="1"/>
  <c r="L472" i="1"/>
  <c r="K472" i="1"/>
  <c r="M471" i="1"/>
  <c r="L471" i="1"/>
  <c r="K471" i="1"/>
  <c r="M470" i="1"/>
  <c r="L470" i="1"/>
  <c r="K470" i="1"/>
  <c r="M469" i="1"/>
  <c r="L469" i="1"/>
  <c r="K469" i="1"/>
  <c r="M468" i="1"/>
  <c r="L468" i="1"/>
  <c r="K468" i="1"/>
  <c r="M467" i="1"/>
  <c r="L467" i="1"/>
  <c r="K467" i="1"/>
  <c r="M466" i="1"/>
  <c r="L466" i="1"/>
  <c r="K466" i="1"/>
  <c r="M465" i="1"/>
  <c r="L465" i="1"/>
  <c r="K465" i="1"/>
  <c r="M464" i="1"/>
  <c r="L464" i="1"/>
  <c r="K464" i="1"/>
  <c r="M463" i="1"/>
  <c r="L463" i="1"/>
  <c r="K463" i="1"/>
  <c r="M462" i="1"/>
  <c r="L462" i="1"/>
  <c r="K462" i="1"/>
  <c r="M461" i="1"/>
  <c r="L461" i="1"/>
  <c r="K461" i="1"/>
  <c r="M460" i="1"/>
  <c r="L460" i="1"/>
  <c r="K460" i="1"/>
  <c r="M459" i="1"/>
  <c r="L459" i="1"/>
  <c r="K459" i="1"/>
  <c r="M458" i="1"/>
  <c r="L458" i="1"/>
  <c r="K458" i="1"/>
  <c r="M457" i="1"/>
  <c r="L457" i="1"/>
  <c r="K457" i="1"/>
  <c r="M456" i="1"/>
  <c r="L456" i="1"/>
  <c r="K456" i="1"/>
  <c r="M455" i="1"/>
  <c r="L455" i="1"/>
  <c r="K455" i="1"/>
  <c r="M454" i="1"/>
  <c r="L454" i="1"/>
  <c r="K454" i="1"/>
  <c r="M453" i="1"/>
  <c r="L453" i="1"/>
  <c r="K453" i="1"/>
  <c r="M452" i="1"/>
  <c r="L452" i="1"/>
  <c r="K452" i="1"/>
  <c r="M451" i="1"/>
  <c r="L451" i="1"/>
  <c r="K451" i="1"/>
  <c r="M450" i="1"/>
  <c r="L450" i="1"/>
  <c r="K450" i="1"/>
  <c r="M449" i="1"/>
  <c r="L449" i="1"/>
  <c r="K449" i="1"/>
  <c r="M448" i="1"/>
  <c r="L448" i="1"/>
  <c r="K448" i="1"/>
  <c r="M447" i="1"/>
  <c r="L447" i="1"/>
  <c r="K447" i="1"/>
  <c r="M446" i="1"/>
  <c r="L446" i="1"/>
  <c r="K446" i="1"/>
  <c r="M445" i="1"/>
  <c r="L445" i="1"/>
  <c r="K445" i="1"/>
  <c r="M444" i="1"/>
  <c r="L444" i="1"/>
  <c r="K444" i="1"/>
  <c r="M443" i="1"/>
  <c r="L443" i="1"/>
  <c r="K443" i="1"/>
  <c r="M442" i="1"/>
  <c r="L442" i="1"/>
  <c r="K442" i="1"/>
  <c r="M441" i="1"/>
  <c r="L441" i="1"/>
  <c r="K441" i="1"/>
  <c r="M440" i="1"/>
  <c r="L440" i="1"/>
  <c r="K440" i="1"/>
  <c r="M439" i="1"/>
  <c r="L439" i="1"/>
  <c r="K439" i="1"/>
  <c r="M438" i="1"/>
  <c r="L438" i="1"/>
  <c r="K438" i="1"/>
  <c r="M437" i="1"/>
  <c r="L437" i="1"/>
  <c r="K437" i="1"/>
  <c r="M436" i="1"/>
  <c r="L436" i="1"/>
  <c r="K436" i="1"/>
  <c r="M435" i="1"/>
  <c r="L435" i="1"/>
  <c r="K435" i="1"/>
  <c r="M434" i="1"/>
  <c r="L434" i="1"/>
  <c r="K434" i="1"/>
  <c r="M433" i="1"/>
  <c r="L433" i="1"/>
  <c r="K433" i="1"/>
  <c r="M432" i="1"/>
  <c r="L432" i="1"/>
  <c r="K432" i="1"/>
  <c r="M431" i="1"/>
  <c r="L431" i="1"/>
  <c r="K431" i="1"/>
  <c r="M430" i="1"/>
  <c r="L430" i="1"/>
  <c r="K430" i="1"/>
  <c r="M429" i="1"/>
  <c r="L429" i="1"/>
  <c r="K429" i="1"/>
  <c r="M428" i="1"/>
  <c r="L428" i="1"/>
  <c r="K428" i="1"/>
  <c r="M427" i="1"/>
  <c r="L427" i="1"/>
  <c r="K427" i="1"/>
  <c r="M426" i="1"/>
  <c r="L426" i="1"/>
  <c r="K426" i="1"/>
  <c r="M425" i="1"/>
  <c r="L425" i="1"/>
  <c r="K425" i="1"/>
  <c r="M424" i="1"/>
  <c r="L424" i="1"/>
  <c r="K424" i="1"/>
  <c r="M423" i="1"/>
  <c r="L423" i="1"/>
  <c r="K423" i="1"/>
  <c r="M422" i="1"/>
  <c r="L422" i="1"/>
  <c r="K422" i="1"/>
  <c r="M421" i="1"/>
  <c r="L421" i="1"/>
  <c r="K421" i="1"/>
  <c r="M420" i="1"/>
  <c r="L420" i="1"/>
  <c r="K420" i="1"/>
  <c r="M419" i="1"/>
  <c r="L419" i="1"/>
  <c r="K419" i="1"/>
  <c r="M418" i="1"/>
  <c r="L418" i="1"/>
  <c r="K418" i="1"/>
  <c r="M417" i="1"/>
  <c r="L417" i="1"/>
  <c r="K417" i="1"/>
  <c r="M416" i="1"/>
  <c r="L416" i="1"/>
  <c r="K416" i="1"/>
  <c r="M415" i="1"/>
  <c r="L415" i="1"/>
  <c r="K415" i="1"/>
  <c r="M414" i="1"/>
  <c r="L414" i="1"/>
  <c r="K414" i="1"/>
  <c r="M413" i="1"/>
  <c r="L413" i="1"/>
  <c r="K413" i="1"/>
  <c r="M412" i="1"/>
  <c r="L412" i="1"/>
  <c r="K412" i="1"/>
  <c r="M411" i="1"/>
  <c r="L411" i="1"/>
  <c r="K411" i="1"/>
  <c r="M410" i="1"/>
  <c r="L410" i="1"/>
  <c r="K410" i="1"/>
  <c r="M409" i="1"/>
  <c r="L409" i="1"/>
  <c r="K409" i="1"/>
  <c r="M408" i="1"/>
  <c r="L408" i="1"/>
  <c r="K408" i="1"/>
  <c r="M407" i="1"/>
  <c r="L407" i="1"/>
  <c r="K407" i="1"/>
  <c r="M406" i="1"/>
  <c r="L406" i="1"/>
  <c r="K406" i="1"/>
  <c r="M405" i="1"/>
  <c r="L405" i="1"/>
  <c r="K405" i="1"/>
  <c r="M404" i="1"/>
  <c r="L404" i="1"/>
  <c r="K404" i="1"/>
  <c r="M403" i="1"/>
  <c r="L403" i="1"/>
  <c r="K403" i="1"/>
  <c r="M402" i="1"/>
  <c r="L402" i="1"/>
  <c r="K402" i="1"/>
  <c r="M401" i="1"/>
  <c r="L401" i="1"/>
  <c r="K401" i="1"/>
  <c r="M400" i="1"/>
  <c r="L400" i="1"/>
  <c r="K400" i="1"/>
  <c r="M399" i="1"/>
  <c r="L399" i="1"/>
  <c r="K399" i="1"/>
  <c r="M398" i="1"/>
  <c r="L398" i="1"/>
  <c r="K398" i="1"/>
  <c r="M397" i="1"/>
  <c r="L397" i="1"/>
  <c r="K397" i="1"/>
  <c r="M396" i="1"/>
  <c r="L396" i="1"/>
  <c r="K396" i="1"/>
  <c r="M395" i="1"/>
  <c r="L395" i="1"/>
  <c r="K395" i="1"/>
  <c r="M394" i="1"/>
  <c r="L394" i="1"/>
  <c r="K394" i="1"/>
  <c r="M393" i="1"/>
  <c r="L393" i="1"/>
  <c r="K393" i="1"/>
  <c r="M392" i="1"/>
  <c r="L392" i="1"/>
  <c r="K392" i="1"/>
  <c r="M391" i="1"/>
  <c r="L391" i="1"/>
  <c r="K391" i="1"/>
  <c r="M390" i="1"/>
  <c r="L390" i="1"/>
  <c r="K390" i="1"/>
  <c r="M389" i="1"/>
  <c r="L389" i="1"/>
  <c r="K389" i="1"/>
  <c r="M388" i="1"/>
  <c r="L388" i="1"/>
  <c r="K388" i="1"/>
  <c r="M387" i="1"/>
  <c r="L387" i="1"/>
  <c r="K387" i="1"/>
  <c r="M386" i="1"/>
  <c r="L386" i="1"/>
  <c r="K386" i="1"/>
  <c r="M385" i="1"/>
  <c r="L385" i="1"/>
  <c r="K385" i="1"/>
  <c r="M384" i="1"/>
  <c r="L384" i="1"/>
  <c r="K384" i="1"/>
  <c r="M383" i="1"/>
  <c r="L383" i="1"/>
  <c r="K383" i="1"/>
  <c r="M382" i="1"/>
  <c r="L382" i="1"/>
  <c r="K382" i="1"/>
  <c r="M381" i="1"/>
  <c r="L381" i="1"/>
  <c r="K381" i="1"/>
  <c r="M380" i="1"/>
  <c r="L380" i="1"/>
  <c r="K380" i="1"/>
  <c r="M379" i="1"/>
  <c r="L379" i="1"/>
  <c r="K379" i="1"/>
  <c r="M378" i="1"/>
  <c r="L378" i="1"/>
  <c r="K378" i="1"/>
  <c r="M377" i="1"/>
  <c r="L377" i="1"/>
  <c r="K377" i="1"/>
  <c r="M376" i="1"/>
  <c r="L376" i="1"/>
  <c r="K376" i="1"/>
  <c r="M375" i="1"/>
  <c r="L375" i="1"/>
  <c r="K375" i="1"/>
  <c r="M374" i="1"/>
  <c r="L374" i="1"/>
  <c r="K374" i="1"/>
  <c r="M373" i="1"/>
  <c r="L373" i="1"/>
  <c r="K373" i="1"/>
  <c r="M372" i="1"/>
  <c r="L372" i="1"/>
  <c r="K372" i="1"/>
  <c r="M371" i="1"/>
  <c r="L371" i="1"/>
  <c r="K371" i="1"/>
  <c r="M370" i="1"/>
  <c r="L370" i="1"/>
  <c r="K370" i="1"/>
  <c r="M369" i="1"/>
  <c r="L369" i="1"/>
  <c r="K369" i="1"/>
  <c r="M368" i="1"/>
  <c r="L368" i="1"/>
  <c r="K368" i="1"/>
  <c r="M367" i="1"/>
  <c r="L367" i="1"/>
  <c r="K367" i="1"/>
  <c r="M366" i="1"/>
  <c r="L366" i="1"/>
  <c r="K366" i="1"/>
  <c r="M365" i="1"/>
  <c r="L365" i="1"/>
  <c r="K365" i="1"/>
  <c r="M364" i="1"/>
  <c r="L364" i="1"/>
  <c r="K364" i="1"/>
  <c r="M363" i="1"/>
  <c r="L363" i="1"/>
  <c r="K363" i="1"/>
  <c r="M362" i="1"/>
  <c r="L362" i="1"/>
  <c r="K362" i="1"/>
  <c r="M361" i="1"/>
  <c r="L361" i="1"/>
  <c r="K361" i="1"/>
  <c r="M360" i="1"/>
  <c r="L360" i="1"/>
  <c r="K360" i="1"/>
  <c r="M359" i="1"/>
  <c r="L359" i="1"/>
  <c r="K359" i="1"/>
  <c r="M358" i="1"/>
  <c r="L358" i="1"/>
  <c r="K358" i="1"/>
  <c r="M357" i="1"/>
  <c r="L357" i="1"/>
  <c r="K357" i="1"/>
  <c r="M356" i="1"/>
  <c r="L356" i="1"/>
  <c r="K356" i="1"/>
  <c r="M355" i="1"/>
  <c r="L355" i="1"/>
  <c r="K355" i="1"/>
  <c r="M354" i="1"/>
  <c r="L354" i="1"/>
  <c r="K354" i="1"/>
  <c r="M353" i="1"/>
  <c r="L353" i="1"/>
  <c r="K353" i="1"/>
  <c r="M352" i="1"/>
  <c r="L352" i="1"/>
  <c r="K352" i="1"/>
  <c r="M351" i="1"/>
  <c r="L351" i="1"/>
  <c r="K351" i="1"/>
  <c r="M350" i="1"/>
  <c r="L350" i="1"/>
  <c r="K350" i="1"/>
  <c r="M349" i="1"/>
  <c r="L349" i="1"/>
  <c r="K349" i="1"/>
  <c r="M348" i="1"/>
  <c r="L348" i="1"/>
  <c r="K348" i="1"/>
  <c r="M347" i="1"/>
  <c r="L347" i="1"/>
  <c r="K347" i="1"/>
  <c r="M346" i="1"/>
  <c r="L346" i="1"/>
  <c r="K346" i="1"/>
  <c r="M345" i="1"/>
  <c r="L345" i="1"/>
  <c r="K345" i="1"/>
  <c r="M344" i="1"/>
  <c r="L344" i="1"/>
  <c r="K344" i="1"/>
  <c r="M343" i="1"/>
  <c r="L343" i="1"/>
  <c r="K343" i="1"/>
  <c r="M342" i="1"/>
  <c r="L342" i="1"/>
  <c r="K342" i="1"/>
  <c r="M341" i="1"/>
  <c r="L341" i="1"/>
  <c r="K341" i="1"/>
  <c r="M340" i="1"/>
  <c r="L340" i="1"/>
  <c r="K340" i="1"/>
  <c r="M339" i="1"/>
  <c r="L339" i="1"/>
  <c r="K339" i="1"/>
  <c r="M338" i="1"/>
  <c r="L338" i="1"/>
  <c r="K338" i="1"/>
  <c r="M337" i="1"/>
  <c r="L337" i="1"/>
  <c r="K337" i="1"/>
  <c r="M336" i="1"/>
  <c r="L336" i="1"/>
  <c r="K336" i="1"/>
  <c r="M335" i="1"/>
  <c r="L335" i="1"/>
  <c r="K335" i="1"/>
  <c r="M334" i="1"/>
  <c r="L334" i="1"/>
  <c r="K334" i="1"/>
  <c r="M333" i="1"/>
  <c r="L333" i="1"/>
  <c r="K333" i="1"/>
  <c r="M332" i="1"/>
  <c r="L332" i="1"/>
  <c r="K332" i="1"/>
  <c r="M331" i="1"/>
  <c r="L331" i="1"/>
  <c r="K331" i="1"/>
  <c r="M330" i="1"/>
  <c r="L330" i="1"/>
  <c r="K330" i="1"/>
  <c r="M329" i="1"/>
  <c r="L329" i="1"/>
  <c r="K329" i="1"/>
  <c r="M328" i="1"/>
  <c r="L328" i="1"/>
  <c r="K328" i="1"/>
  <c r="M327" i="1"/>
  <c r="L327" i="1"/>
  <c r="K327" i="1"/>
  <c r="M326" i="1"/>
  <c r="L326" i="1"/>
  <c r="K326" i="1"/>
  <c r="M325" i="1"/>
  <c r="L325" i="1"/>
  <c r="K325" i="1"/>
  <c r="M324" i="1"/>
  <c r="L324" i="1"/>
  <c r="K324" i="1"/>
  <c r="M323" i="1"/>
  <c r="L323" i="1"/>
  <c r="K323" i="1"/>
  <c r="M322" i="1"/>
  <c r="L322" i="1"/>
  <c r="K322" i="1"/>
  <c r="M321" i="1"/>
  <c r="L321" i="1"/>
  <c r="K321" i="1"/>
  <c r="M320" i="1"/>
  <c r="L320" i="1"/>
  <c r="K320" i="1"/>
  <c r="M319" i="1"/>
  <c r="L319" i="1"/>
  <c r="K319" i="1"/>
  <c r="M318" i="1"/>
  <c r="L318" i="1"/>
  <c r="K318" i="1"/>
  <c r="M317" i="1"/>
  <c r="L317" i="1"/>
  <c r="K317" i="1"/>
  <c r="M316" i="1"/>
  <c r="L316" i="1"/>
  <c r="K316" i="1"/>
  <c r="M315" i="1"/>
  <c r="L315" i="1"/>
  <c r="K315" i="1"/>
  <c r="M314" i="1"/>
  <c r="L314" i="1"/>
  <c r="K314" i="1"/>
  <c r="M313" i="1"/>
  <c r="L313" i="1"/>
  <c r="K313" i="1"/>
  <c r="M312" i="1"/>
  <c r="L312" i="1"/>
  <c r="K312" i="1"/>
  <c r="M311" i="1"/>
  <c r="L311" i="1"/>
  <c r="K311" i="1"/>
  <c r="M310" i="1"/>
  <c r="L310" i="1"/>
  <c r="K310" i="1"/>
  <c r="M309" i="1"/>
  <c r="L309" i="1"/>
  <c r="K309" i="1"/>
  <c r="M308" i="1"/>
  <c r="L308" i="1"/>
  <c r="K308" i="1"/>
  <c r="M307" i="1"/>
  <c r="L307" i="1"/>
  <c r="K307" i="1"/>
  <c r="M306" i="1"/>
  <c r="L306" i="1"/>
  <c r="K306" i="1"/>
  <c r="M305" i="1"/>
  <c r="L305" i="1"/>
  <c r="K305" i="1"/>
  <c r="M304" i="1"/>
  <c r="L304" i="1"/>
  <c r="K304" i="1"/>
  <c r="M303" i="1"/>
  <c r="L303" i="1"/>
  <c r="K303" i="1"/>
  <c r="M302" i="1"/>
  <c r="L302" i="1"/>
  <c r="K302" i="1"/>
  <c r="M301" i="1"/>
  <c r="L301" i="1"/>
  <c r="K301" i="1"/>
  <c r="M300" i="1"/>
  <c r="L300" i="1"/>
  <c r="K300" i="1"/>
  <c r="M299" i="1"/>
  <c r="L299" i="1"/>
  <c r="K299" i="1"/>
  <c r="M298" i="1"/>
  <c r="L298" i="1"/>
  <c r="K298" i="1"/>
  <c r="M297" i="1"/>
  <c r="L297" i="1"/>
  <c r="K297" i="1"/>
  <c r="M296" i="1"/>
  <c r="L296" i="1"/>
  <c r="K296" i="1"/>
  <c r="M295" i="1"/>
  <c r="L295" i="1"/>
  <c r="K295" i="1"/>
  <c r="M294" i="1"/>
  <c r="L294" i="1"/>
  <c r="K294" i="1"/>
  <c r="M293" i="1"/>
  <c r="L293" i="1"/>
  <c r="K293" i="1"/>
  <c r="M292" i="1"/>
  <c r="L292" i="1"/>
  <c r="K292" i="1"/>
  <c r="M291" i="1"/>
  <c r="L291" i="1"/>
  <c r="K291" i="1"/>
  <c r="M290" i="1"/>
  <c r="L290" i="1"/>
  <c r="K290" i="1"/>
  <c r="M289" i="1"/>
  <c r="L289" i="1"/>
  <c r="K289" i="1"/>
  <c r="M288" i="1"/>
  <c r="L288" i="1"/>
  <c r="K288" i="1"/>
  <c r="M287" i="1"/>
  <c r="L287" i="1"/>
  <c r="K287" i="1"/>
  <c r="M286" i="1"/>
  <c r="L286" i="1"/>
  <c r="K286" i="1"/>
  <c r="M285" i="1"/>
  <c r="L285" i="1"/>
  <c r="K285" i="1"/>
  <c r="M284" i="1"/>
  <c r="L284" i="1"/>
  <c r="K284" i="1"/>
  <c r="M283" i="1"/>
  <c r="L283" i="1"/>
  <c r="K283" i="1"/>
  <c r="M282" i="1"/>
  <c r="L282" i="1"/>
  <c r="K282" i="1"/>
  <c r="M281" i="1"/>
  <c r="L281" i="1"/>
  <c r="K281" i="1"/>
  <c r="M280" i="1"/>
  <c r="L280" i="1"/>
  <c r="K280" i="1"/>
  <c r="M279" i="1"/>
  <c r="L279" i="1"/>
  <c r="K279" i="1"/>
  <c r="M278" i="1"/>
  <c r="L278" i="1"/>
  <c r="K278" i="1"/>
  <c r="M277" i="1"/>
  <c r="L277" i="1"/>
  <c r="K277" i="1"/>
  <c r="M276" i="1"/>
  <c r="L276" i="1"/>
  <c r="K276" i="1"/>
  <c r="M275" i="1"/>
  <c r="L275" i="1"/>
  <c r="K275" i="1"/>
  <c r="M274" i="1"/>
  <c r="L274" i="1"/>
  <c r="K274" i="1"/>
  <c r="M273" i="1"/>
  <c r="L273" i="1"/>
  <c r="K273" i="1"/>
  <c r="M272" i="1"/>
  <c r="L272" i="1"/>
  <c r="K272" i="1"/>
  <c r="M271" i="1"/>
  <c r="L271" i="1"/>
  <c r="K271" i="1"/>
  <c r="M270" i="1"/>
  <c r="L270" i="1"/>
  <c r="K270" i="1"/>
  <c r="M269" i="1"/>
  <c r="L269" i="1"/>
  <c r="K269" i="1"/>
  <c r="M268" i="1"/>
  <c r="L268" i="1"/>
  <c r="K268" i="1"/>
  <c r="M267" i="1"/>
  <c r="L267" i="1"/>
  <c r="K267" i="1"/>
  <c r="M266" i="1"/>
  <c r="L266" i="1"/>
  <c r="K266" i="1"/>
  <c r="M265" i="1"/>
  <c r="L265" i="1"/>
  <c r="K265" i="1"/>
  <c r="M264" i="1"/>
  <c r="L264" i="1"/>
  <c r="K264" i="1"/>
  <c r="M263" i="1"/>
  <c r="L263" i="1"/>
  <c r="K263" i="1"/>
  <c r="M262" i="1"/>
  <c r="L262" i="1"/>
  <c r="K262" i="1"/>
  <c r="M261" i="1"/>
  <c r="L261" i="1"/>
  <c r="K261" i="1"/>
  <c r="M260" i="1"/>
  <c r="L260" i="1"/>
  <c r="K260" i="1"/>
  <c r="M259" i="1"/>
  <c r="L259" i="1"/>
  <c r="K259" i="1"/>
  <c r="M258" i="1"/>
  <c r="L258" i="1"/>
  <c r="K258" i="1"/>
  <c r="M257" i="1"/>
  <c r="L257" i="1"/>
  <c r="K257" i="1"/>
  <c r="M256" i="1"/>
  <c r="L256" i="1"/>
  <c r="K256" i="1"/>
  <c r="M255" i="1"/>
  <c r="L255" i="1"/>
  <c r="K255" i="1"/>
  <c r="M254" i="1"/>
  <c r="L254" i="1"/>
  <c r="K254" i="1"/>
  <c r="M253" i="1"/>
  <c r="L253" i="1"/>
  <c r="K253" i="1"/>
  <c r="M252" i="1"/>
  <c r="L252" i="1"/>
  <c r="K252" i="1"/>
  <c r="M251" i="1"/>
  <c r="L251" i="1"/>
  <c r="K251" i="1"/>
  <c r="M250" i="1"/>
  <c r="L250" i="1"/>
  <c r="K250" i="1"/>
  <c r="M249" i="1"/>
  <c r="L249" i="1"/>
  <c r="K249" i="1"/>
  <c r="M248" i="1"/>
  <c r="L248" i="1"/>
  <c r="K248" i="1"/>
  <c r="M247" i="1"/>
  <c r="L247" i="1"/>
  <c r="K247" i="1"/>
  <c r="M246" i="1"/>
  <c r="L246" i="1"/>
  <c r="K246" i="1"/>
  <c r="M245" i="1"/>
  <c r="L245" i="1"/>
  <c r="K245" i="1"/>
  <c r="M244" i="1"/>
  <c r="L244" i="1"/>
  <c r="K244" i="1"/>
  <c r="M243" i="1"/>
  <c r="L243" i="1"/>
  <c r="K243" i="1"/>
  <c r="M242" i="1"/>
  <c r="L242" i="1"/>
  <c r="K242" i="1"/>
  <c r="M241" i="1"/>
  <c r="L241" i="1"/>
  <c r="K241" i="1"/>
  <c r="M240" i="1"/>
  <c r="L240" i="1"/>
  <c r="K240" i="1"/>
  <c r="M239" i="1"/>
  <c r="L239" i="1"/>
  <c r="K239" i="1"/>
  <c r="M238" i="1"/>
  <c r="L238" i="1"/>
  <c r="K238" i="1"/>
  <c r="M237" i="1"/>
  <c r="L237" i="1"/>
  <c r="K237" i="1"/>
  <c r="M236" i="1"/>
  <c r="L236" i="1"/>
  <c r="K236" i="1"/>
  <c r="M235" i="1"/>
  <c r="L235" i="1"/>
  <c r="K235" i="1"/>
  <c r="M234" i="1"/>
  <c r="L234" i="1"/>
  <c r="K234" i="1"/>
  <c r="M233" i="1"/>
  <c r="L233" i="1"/>
  <c r="K233" i="1"/>
  <c r="M232" i="1"/>
  <c r="L232" i="1"/>
  <c r="K232" i="1"/>
  <c r="M231" i="1"/>
  <c r="L231" i="1"/>
  <c r="K231" i="1"/>
  <c r="M230" i="1"/>
  <c r="L230" i="1"/>
  <c r="K230" i="1"/>
  <c r="M229" i="1"/>
  <c r="L229" i="1"/>
  <c r="K229" i="1"/>
  <c r="M228" i="1"/>
  <c r="L228" i="1"/>
  <c r="K228" i="1"/>
  <c r="M227" i="1"/>
  <c r="L227" i="1"/>
  <c r="K227" i="1"/>
  <c r="M226" i="1"/>
  <c r="L226" i="1"/>
  <c r="K226" i="1"/>
  <c r="M225" i="1"/>
  <c r="L225" i="1"/>
  <c r="K225" i="1"/>
  <c r="M224" i="1"/>
  <c r="L224" i="1"/>
  <c r="K224" i="1"/>
  <c r="M223" i="1"/>
  <c r="L223" i="1"/>
  <c r="K223" i="1"/>
  <c r="M222" i="1"/>
  <c r="L222" i="1"/>
  <c r="K222" i="1"/>
  <c r="M221" i="1"/>
  <c r="L221" i="1"/>
  <c r="K221" i="1"/>
  <c r="M220" i="1"/>
  <c r="L220" i="1"/>
  <c r="K220" i="1"/>
  <c r="M219" i="1"/>
  <c r="L219" i="1"/>
  <c r="K219" i="1"/>
  <c r="M218" i="1"/>
  <c r="L218" i="1"/>
  <c r="K218" i="1"/>
  <c r="M217" i="1"/>
  <c r="L217" i="1"/>
  <c r="K217" i="1"/>
  <c r="M216" i="1"/>
  <c r="L216" i="1"/>
  <c r="K216" i="1"/>
  <c r="M215" i="1"/>
  <c r="L215" i="1"/>
  <c r="K215" i="1"/>
  <c r="M214" i="1"/>
  <c r="L214" i="1"/>
  <c r="K214" i="1"/>
  <c r="M213" i="1"/>
  <c r="L213" i="1"/>
  <c r="K213" i="1"/>
  <c r="M212" i="1"/>
  <c r="L212" i="1"/>
  <c r="K212" i="1"/>
  <c r="M211" i="1"/>
  <c r="L211" i="1"/>
  <c r="K211" i="1"/>
  <c r="M210" i="1"/>
  <c r="L210" i="1"/>
  <c r="K210" i="1"/>
  <c r="M209" i="1"/>
  <c r="L209" i="1"/>
  <c r="K209" i="1"/>
  <c r="M208" i="1"/>
  <c r="L208" i="1"/>
  <c r="K208" i="1"/>
  <c r="M207" i="1"/>
  <c r="L207" i="1"/>
  <c r="K207" i="1"/>
  <c r="M206" i="1"/>
  <c r="L206" i="1"/>
  <c r="K206" i="1"/>
  <c r="M205" i="1"/>
  <c r="L205" i="1"/>
  <c r="K205" i="1"/>
  <c r="M204" i="1"/>
  <c r="L204" i="1"/>
  <c r="K204" i="1"/>
  <c r="M203" i="1"/>
  <c r="L203" i="1"/>
  <c r="K203" i="1"/>
  <c r="M202" i="1"/>
  <c r="L202" i="1"/>
  <c r="K202" i="1"/>
  <c r="M201" i="1"/>
  <c r="L201" i="1"/>
  <c r="K201" i="1"/>
  <c r="M200" i="1"/>
  <c r="L200" i="1"/>
  <c r="K200" i="1"/>
  <c r="M199" i="1"/>
  <c r="L199" i="1"/>
  <c r="K199" i="1"/>
  <c r="M198" i="1"/>
  <c r="L198" i="1"/>
  <c r="K198" i="1"/>
  <c r="M197" i="1"/>
  <c r="L197" i="1"/>
  <c r="K197" i="1"/>
  <c r="M196" i="1"/>
  <c r="L196" i="1"/>
  <c r="K196" i="1"/>
  <c r="M195" i="1"/>
  <c r="L195" i="1"/>
  <c r="K195" i="1"/>
  <c r="M194" i="1"/>
  <c r="L194" i="1"/>
  <c r="K194" i="1"/>
  <c r="M193" i="1"/>
  <c r="L193" i="1"/>
  <c r="K193" i="1"/>
  <c r="M192" i="1"/>
  <c r="L192" i="1"/>
  <c r="K192" i="1"/>
  <c r="M191" i="1"/>
  <c r="L191" i="1"/>
  <c r="K191" i="1"/>
  <c r="M190" i="1"/>
  <c r="L190" i="1"/>
  <c r="K190" i="1"/>
  <c r="M189" i="1"/>
  <c r="L189" i="1"/>
  <c r="K189" i="1"/>
  <c r="M188" i="1"/>
  <c r="L188" i="1"/>
  <c r="K188" i="1"/>
  <c r="M187" i="1"/>
  <c r="L187" i="1"/>
  <c r="K187" i="1"/>
  <c r="M186" i="1"/>
  <c r="L186" i="1"/>
  <c r="K186" i="1"/>
  <c r="M185" i="1"/>
  <c r="L185" i="1"/>
  <c r="K185" i="1"/>
  <c r="M184" i="1"/>
  <c r="L184" i="1"/>
  <c r="K184" i="1"/>
  <c r="M183" i="1"/>
  <c r="L183" i="1"/>
  <c r="K183" i="1"/>
  <c r="M182" i="1"/>
  <c r="L182" i="1"/>
  <c r="K182" i="1"/>
  <c r="M181" i="1"/>
  <c r="L181" i="1"/>
  <c r="K181" i="1"/>
  <c r="M180" i="1"/>
  <c r="L180" i="1"/>
  <c r="K180" i="1"/>
  <c r="M179" i="1"/>
  <c r="L179" i="1"/>
  <c r="K179" i="1"/>
  <c r="M178" i="1"/>
  <c r="L178" i="1"/>
  <c r="K178" i="1"/>
  <c r="M177" i="1"/>
  <c r="L177" i="1"/>
  <c r="K177" i="1"/>
  <c r="M176" i="1"/>
  <c r="L176" i="1"/>
  <c r="K176" i="1"/>
  <c r="M175" i="1"/>
  <c r="L175" i="1"/>
  <c r="K175" i="1"/>
  <c r="M174" i="1"/>
  <c r="L174" i="1"/>
  <c r="K174" i="1"/>
  <c r="M173" i="1"/>
  <c r="L173" i="1"/>
  <c r="K173" i="1"/>
  <c r="M172" i="1"/>
  <c r="L172" i="1"/>
  <c r="K172" i="1"/>
  <c r="M171" i="1"/>
  <c r="L171" i="1"/>
  <c r="K171" i="1"/>
  <c r="M170" i="1"/>
  <c r="L170" i="1"/>
  <c r="K170" i="1"/>
  <c r="M169" i="1"/>
  <c r="L169" i="1"/>
  <c r="K169" i="1"/>
  <c r="M168" i="1"/>
  <c r="L168" i="1"/>
  <c r="K168" i="1"/>
  <c r="M167" i="1"/>
  <c r="L167" i="1"/>
  <c r="K167" i="1"/>
  <c r="M166" i="1"/>
  <c r="L166" i="1"/>
  <c r="K166" i="1"/>
  <c r="M165" i="1"/>
  <c r="L165" i="1"/>
  <c r="K165" i="1"/>
  <c r="M164" i="1"/>
  <c r="L164" i="1"/>
  <c r="K164" i="1"/>
  <c r="M163" i="1"/>
  <c r="L163" i="1"/>
  <c r="K163" i="1"/>
  <c r="M162" i="1"/>
  <c r="L162" i="1"/>
  <c r="K162" i="1"/>
  <c r="M161" i="1"/>
  <c r="L161" i="1"/>
  <c r="K161" i="1"/>
  <c r="L160" i="1"/>
  <c r="M160" i="1" s="1"/>
  <c r="K160" i="1"/>
  <c r="L159" i="1"/>
  <c r="M159" i="1" s="1"/>
  <c r="K159" i="1"/>
  <c r="L158" i="1"/>
  <c r="M158" i="1" s="1"/>
  <c r="K158" i="1"/>
  <c r="L157" i="1"/>
  <c r="M157" i="1" s="1"/>
  <c r="K157" i="1"/>
  <c r="L156" i="1"/>
  <c r="M156" i="1" s="1"/>
  <c r="K156" i="1"/>
  <c r="L155" i="1"/>
  <c r="M155" i="1" s="1"/>
  <c r="K155" i="1"/>
  <c r="L154" i="1"/>
  <c r="M154" i="1" s="1"/>
  <c r="K154" i="1"/>
  <c r="L153" i="1"/>
  <c r="M153" i="1" s="1"/>
  <c r="K153" i="1"/>
  <c r="L152" i="1"/>
  <c r="M152" i="1" s="1"/>
  <c r="K152" i="1"/>
  <c r="L151" i="1"/>
  <c r="M151" i="1" s="1"/>
  <c r="K151" i="1"/>
  <c r="L150" i="1"/>
  <c r="M150" i="1" s="1"/>
  <c r="K150" i="1"/>
  <c r="L149" i="1"/>
  <c r="M149" i="1" s="1"/>
  <c r="K149" i="1"/>
  <c r="L148" i="1"/>
  <c r="M148" i="1" s="1"/>
  <c r="K148" i="1"/>
  <c r="L147" i="1"/>
  <c r="M147" i="1" s="1"/>
  <c r="K147" i="1"/>
  <c r="L146" i="1"/>
  <c r="M146" i="1" s="1"/>
  <c r="K146" i="1"/>
  <c r="L145" i="1"/>
  <c r="M145" i="1" s="1"/>
  <c r="K145" i="1"/>
  <c r="L144" i="1"/>
  <c r="M144" i="1" s="1"/>
  <c r="K144" i="1"/>
  <c r="L143" i="1"/>
  <c r="M143" i="1" s="1"/>
  <c r="K143" i="1"/>
  <c r="L142" i="1"/>
  <c r="M142" i="1" s="1"/>
  <c r="K142" i="1"/>
  <c r="L141" i="1"/>
  <c r="M141" i="1" s="1"/>
  <c r="K141" i="1"/>
  <c r="L140" i="1"/>
  <c r="M140" i="1" s="1"/>
  <c r="K140" i="1"/>
  <c r="L139" i="1"/>
  <c r="M139" i="1" s="1"/>
  <c r="K139" i="1"/>
  <c r="L138" i="1"/>
  <c r="M138" i="1" s="1"/>
  <c r="K138" i="1"/>
  <c r="L137" i="1"/>
  <c r="M137" i="1" s="1"/>
  <c r="K137" i="1"/>
  <c r="L136" i="1"/>
  <c r="M136" i="1" s="1"/>
  <c r="K136" i="1"/>
  <c r="L135" i="1"/>
  <c r="M135" i="1" s="1"/>
  <c r="K135" i="1"/>
  <c r="L134" i="1"/>
  <c r="M134" i="1" s="1"/>
  <c r="K134" i="1"/>
  <c r="L133" i="1"/>
  <c r="M133" i="1" s="1"/>
  <c r="K133" i="1"/>
  <c r="L132" i="1"/>
  <c r="M132" i="1" s="1"/>
  <c r="K132" i="1"/>
  <c r="L131" i="1"/>
  <c r="M131" i="1" s="1"/>
  <c r="K131" i="1"/>
  <c r="L130" i="1"/>
  <c r="M130" i="1" s="1"/>
  <c r="K130" i="1"/>
  <c r="L129" i="1"/>
  <c r="M129" i="1" s="1"/>
  <c r="K129" i="1"/>
  <c r="L128" i="1"/>
  <c r="M128" i="1" s="1"/>
  <c r="K128" i="1"/>
  <c r="L127" i="1"/>
  <c r="M127" i="1" s="1"/>
  <c r="K127" i="1"/>
  <c r="L126" i="1"/>
  <c r="M126" i="1" s="1"/>
  <c r="K126" i="1"/>
  <c r="L125" i="1"/>
  <c r="M125" i="1" s="1"/>
  <c r="K125" i="1"/>
  <c r="L124" i="1"/>
  <c r="M124" i="1" s="1"/>
  <c r="K124" i="1"/>
  <c r="L123" i="1"/>
  <c r="M123" i="1" s="1"/>
  <c r="K123" i="1"/>
  <c r="L122" i="1"/>
  <c r="M122" i="1" s="1"/>
  <c r="K122" i="1"/>
  <c r="L121" i="1"/>
  <c r="M121" i="1" s="1"/>
  <c r="K121" i="1"/>
  <c r="L120" i="1"/>
  <c r="M120" i="1" s="1"/>
  <c r="K120" i="1"/>
  <c r="L119" i="1"/>
  <c r="M119" i="1" s="1"/>
  <c r="K119" i="1"/>
  <c r="L118" i="1"/>
  <c r="M118" i="1" s="1"/>
  <c r="K118" i="1"/>
  <c r="L117" i="1"/>
  <c r="M117" i="1" s="1"/>
  <c r="K117" i="1"/>
  <c r="L116" i="1"/>
  <c r="M116" i="1" s="1"/>
  <c r="K116" i="1"/>
  <c r="L115" i="1"/>
  <c r="M115" i="1" s="1"/>
  <c r="K115" i="1"/>
  <c r="L114" i="1"/>
  <c r="M114" i="1" s="1"/>
  <c r="K114" i="1"/>
  <c r="L113" i="1"/>
  <c r="M113" i="1" s="1"/>
  <c r="K113" i="1"/>
  <c r="L112" i="1"/>
  <c r="M112" i="1" s="1"/>
  <c r="K112" i="1"/>
  <c r="L111" i="1"/>
  <c r="M111" i="1" s="1"/>
  <c r="K111" i="1"/>
  <c r="L110" i="1"/>
  <c r="M110" i="1" s="1"/>
  <c r="K110" i="1"/>
  <c r="L109" i="1"/>
  <c r="M109" i="1" s="1"/>
  <c r="K109" i="1"/>
  <c r="L108" i="1"/>
  <c r="M108" i="1" s="1"/>
  <c r="K108" i="1"/>
  <c r="L107" i="1"/>
  <c r="M107" i="1" s="1"/>
  <c r="K107" i="1"/>
  <c r="L106" i="1"/>
  <c r="M106" i="1" s="1"/>
  <c r="K106" i="1"/>
  <c r="L105" i="1"/>
  <c r="M105" i="1" s="1"/>
  <c r="K105" i="1"/>
  <c r="L104" i="1"/>
  <c r="M104" i="1" s="1"/>
  <c r="K104" i="1"/>
  <c r="L103" i="1"/>
  <c r="M103" i="1" s="1"/>
  <c r="K103" i="1"/>
  <c r="L102" i="1"/>
  <c r="M102" i="1" s="1"/>
  <c r="K102" i="1"/>
  <c r="L101" i="1"/>
  <c r="M101" i="1" s="1"/>
  <c r="K101" i="1"/>
  <c r="L100" i="1"/>
  <c r="M100" i="1" s="1"/>
  <c r="K100" i="1"/>
  <c r="L99" i="1"/>
  <c r="M99" i="1" s="1"/>
  <c r="K99" i="1"/>
  <c r="L98" i="1"/>
  <c r="M98" i="1" s="1"/>
  <c r="K98" i="1"/>
  <c r="L97" i="1"/>
  <c r="M97" i="1" s="1"/>
  <c r="K97" i="1"/>
  <c r="L96" i="1"/>
  <c r="M96" i="1" s="1"/>
  <c r="K96" i="1"/>
  <c r="L95" i="1"/>
  <c r="M95" i="1" s="1"/>
  <c r="K95" i="1"/>
  <c r="L94" i="1"/>
  <c r="M94" i="1" s="1"/>
  <c r="K94" i="1"/>
  <c r="L93" i="1"/>
  <c r="M93" i="1" s="1"/>
  <c r="K93" i="1"/>
  <c r="L92" i="1"/>
  <c r="M92" i="1" s="1"/>
  <c r="K92" i="1"/>
  <c r="L91" i="1"/>
  <c r="M91" i="1" s="1"/>
  <c r="K91" i="1"/>
  <c r="L90" i="1"/>
  <c r="M90" i="1" s="1"/>
  <c r="K90" i="1"/>
  <c r="L89" i="1"/>
  <c r="M89" i="1" s="1"/>
  <c r="K89" i="1"/>
  <c r="L88" i="1"/>
  <c r="M88" i="1" s="1"/>
  <c r="K88" i="1"/>
  <c r="L87" i="1"/>
  <c r="M87" i="1" s="1"/>
  <c r="K87" i="1"/>
  <c r="L86" i="1"/>
  <c r="M86" i="1" s="1"/>
  <c r="K86" i="1"/>
  <c r="L85" i="1"/>
  <c r="M85" i="1" s="1"/>
  <c r="K85" i="1"/>
  <c r="L84" i="1"/>
  <c r="M84" i="1" s="1"/>
  <c r="K84" i="1"/>
  <c r="L83" i="1"/>
  <c r="M83" i="1" s="1"/>
  <c r="K83" i="1"/>
  <c r="L82" i="1"/>
  <c r="M82" i="1" s="1"/>
  <c r="K82" i="1"/>
  <c r="L81" i="1"/>
  <c r="M81" i="1" s="1"/>
  <c r="K81" i="1"/>
  <c r="L80" i="1"/>
  <c r="M80" i="1" s="1"/>
  <c r="K80" i="1"/>
  <c r="L79" i="1"/>
  <c r="M79" i="1" s="1"/>
  <c r="K79" i="1"/>
  <c r="L78" i="1"/>
  <c r="M78" i="1" s="1"/>
  <c r="K78" i="1"/>
  <c r="L77" i="1"/>
  <c r="M77" i="1" s="1"/>
  <c r="K77" i="1"/>
  <c r="L76" i="1"/>
  <c r="M76" i="1" s="1"/>
  <c r="K76" i="1"/>
  <c r="L75" i="1"/>
  <c r="M75" i="1" s="1"/>
  <c r="K75" i="1"/>
  <c r="L74" i="1"/>
  <c r="M74" i="1" s="1"/>
  <c r="K74" i="1"/>
  <c r="L73" i="1"/>
  <c r="M73" i="1" s="1"/>
  <c r="K73" i="1"/>
  <c r="L72" i="1"/>
  <c r="M72" i="1" s="1"/>
  <c r="K72" i="1"/>
  <c r="L71" i="1"/>
  <c r="M71" i="1" s="1"/>
  <c r="K71" i="1"/>
  <c r="L70" i="1"/>
  <c r="M70" i="1" s="1"/>
  <c r="K70" i="1"/>
  <c r="L69" i="1"/>
  <c r="M69" i="1" s="1"/>
  <c r="K69" i="1"/>
  <c r="L68" i="1"/>
  <c r="M68" i="1" s="1"/>
  <c r="K68" i="1"/>
  <c r="L67" i="1"/>
  <c r="M67" i="1" s="1"/>
  <c r="K67" i="1"/>
  <c r="L66" i="1"/>
  <c r="M66" i="1" s="1"/>
  <c r="K66" i="1"/>
  <c r="L65" i="1"/>
  <c r="M65" i="1" s="1"/>
  <c r="K65" i="1"/>
  <c r="L64" i="1"/>
  <c r="M64" i="1" s="1"/>
  <c r="K64" i="1"/>
  <c r="L63" i="1"/>
  <c r="M63" i="1" s="1"/>
  <c r="K63" i="1"/>
  <c r="L62" i="1"/>
  <c r="M62" i="1" s="1"/>
  <c r="K62" i="1"/>
  <c r="L61" i="1"/>
  <c r="M61" i="1" s="1"/>
  <c r="K61" i="1"/>
  <c r="L60" i="1"/>
  <c r="M60" i="1" s="1"/>
  <c r="K60" i="1"/>
  <c r="L59" i="1"/>
  <c r="M59" i="1" s="1"/>
  <c r="K59" i="1"/>
  <c r="L58" i="1"/>
  <c r="M58" i="1" s="1"/>
  <c r="K58" i="1"/>
  <c r="L57" i="1"/>
  <c r="M57" i="1" s="1"/>
  <c r="K57" i="1"/>
  <c r="L56" i="1"/>
  <c r="M56" i="1" s="1"/>
  <c r="K56" i="1"/>
  <c r="L55" i="1"/>
  <c r="M55" i="1" s="1"/>
  <c r="K55" i="1"/>
  <c r="L54" i="1"/>
  <c r="M54" i="1" s="1"/>
  <c r="K54" i="1"/>
  <c r="L53" i="1"/>
  <c r="M53" i="1" s="1"/>
  <c r="K53" i="1"/>
  <c r="L52" i="1"/>
  <c r="M52" i="1" s="1"/>
  <c r="K52" i="1"/>
  <c r="L51" i="1"/>
  <c r="M51" i="1" s="1"/>
  <c r="K51" i="1"/>
  <c r="L50" i="1"/>
  <c r="M50" i="1" s="1"/>
  <c r="K50" i="1"/>
  <c r="L49" i="1"/>
  <c r="M49" i="1" s="1"/>
  <c r="K49" i="1"/>
  <c r="L48" i="1"/>
  <c r="M48" i="1" s="1"/>
  <c r="K48" i="1"/>
  <c r="L47" i="1"/>
  <c r="M47" i="1" s="1"/>
  <c r="K47" i="1"/>
  <c r="L46" i="1"/>
  <c r="M46" i="1" s="1"/>
  <c r="K46" i="1"/>
  <c r="L45" i="1"/>
  <c r="M45" i="1" s="1"/>
  <c r="K45" i="1"/>
  <c r="L44" i="1"/>
  <c r="M44" i="1" s="1"/>
  <c r="K44" i="1"/>
  <c r="L43" i="1"/>
  <c r="M43" i="1" s="1"/>
  <c r="K43" i="1"/>
  <c r="L42" i="1"/>
  <c r="M42" i="1" s="1"/>
  <c r="K42" i="1"/>
  <c r="L41" i="1"/>
  <c r="M41" i="1" s="1"/>
  <c r="K41" i="1"/>
  <c r="L40" i="1"/>
  <c r="M40" i="1" s="1"/>
  <c r="K40" i="1"/>
  <c r="L39" i="1"/>
  <c r="M39" i="1" s="1"/>
  <c r="K39" i="1"/>
  <c r="L38" i="1"/>
  <c r="M38" i="1" s="1"/>
  <c r="K38" i="1"/>
  <c r="L37" i="1"/>
  <c r="M37" i="1" s="1"/>
  <c r="K37" i="1"/>
  <c r="L36" i="1"/>
  <c r="M36" i="1" s="1"/>
  <c r="K36" i="1"/>
  <c r="L35" i="1"/>
  <c r="M35" i="1" s="1"/>
  <c r="K35" i="1"/>
  <c r="L34" i="1"/>
  <c r="M34" i="1" s="1"/>
  <c r="K34" i="1"/>
  <c r="L33" i="1"/>
  <c r="M33" i="1" s="1"/>
  <c r="K33" i="1"/>
  <c r="L32" i="1"/>
  <c r="M32" i="1" s="1"/>
  <c r="K32" i="1"/>
  <c r="L31" i="1"/>
  <c r="M31" i="1" s="1"/>
  <c r="K31" i="1"/>
  <c r="L30" i="1"/>
  <c r="M30" i="1" s="1"/>
  <c r="K30" i="1"/>
  <c r="L29" i="1"/>
  <c r="M29" i="1" s="1"/>
  <c r="K29" i="1"/>
  <c r="L28" i="1"/>
  <c r="M28" i="1" s="1"/>
  <c r="K28" i="1"/>
  <c r="L27" i="1"/>
  <c r="M27" i="1" s="1"/>
  <c r="K27" i="1"/>
  <c r="L26" i="1"/>
  <c r="M26" i="1" s="1"/>
  <c r="K26" i="1"/>
  <c r="L25" i="1"/>
  <c r="M25" i="1" s="1"/>
  <c r="K25" i="1"/>
  <c r="L24" i="1"/>
  <c r="M24" i="1" s="1"/>
  <c r="K24" i="1"/>
  <c r="L23" i="1"/>
  <c r="M23" i="1" s="1"/>
  <c r="K23" i="1"/>
  <c r="L22" i="1"/>
  <c r="M22" i="1" s="1"/>
  <c r="K22" i="1"/>
  <c r="L21" i="1"/>
  <c r="M21" i="1" s="1"/>
  <c r="K21" i="1"/>
  <c r="L20" i="1"/>
  <c r="M20" i="1" s="1"/>
  <c r="K20" i="1"/>
  <c r="L19" i="1"/>
  <c r="M19" i="1" s="1"/>
  <c r="K19" i="1"/>
  <c r="L18" i="1"/>
  <c r="M18" i="1" s="1"/>
  <c r="K18" i="1"/>
  <c r="L17" i="1"/>
  <c r="M17" i="1" s="1"/>
  <c r="K17" i="1"/>
  <c r="L16" i="1"/>
  <c r="M16" i="1" s="1"/>
  <c r="K16" i="1"/>
  <c r="L15" i="1"/>
  <c r="M15" i="1" s="1"/>
  <c r="K15" i="1"/>
  <c r="L14" i="1"/>
  <c r="M14" i="1" s="1"/>
  <c r="K14" i="1"/>
  <c r="L13" i="1"/>
  <c r="M13" i="1" s="1"/>
  <c r="K13" i="1"/>
  <c r="L12" i="1"/>
  <c r="M12" i="1" s="1"/>
  <c r="K12" i="1"/>
  <c r="L11" i="1"/>
  <c r="M11" i="1" s="1"/>
  <c r="K11" i="1"/>
  <c r="L10" i="1"/>
  <c r="M10" i="1" s="1"/>
  <c r="K10" i="1"/>
  <c r="L9" i="1"/>
  <c r="M9" i="1" s="1"/>
  <c r="K9" i="1"/>
  <c r="L8" i="1"/>
  <c r="M8" i="1" s="1"/>
  <c r="K8" i="1"/>
  <c r="L7" i="1"/>
  <c r="M7" i="1" s="1"/>
  <c r="K7" i="1"/>
  <c r="L6" i="1"/>
  <c r="M6" i="1" s="1"/>
  <c r="K6" i="1"/>
  <c r="L5" i="1"/>
  <c r="M5" i="1" s="1"/>
  <c r="K5" i="1"/>
  <c r="L4" i="1"/>
  <c r="M4" i="1" s="1"/>
  <c r="K4" i="1"/>
  <c r="L3" i="1"/>
  <c r="M3" i="1" s="1"/>
  <c r="K3" i="1"/>
  <c r="J3" i="1"/>
  <c r="L2" i="1"/>
  <c r="M2" i="1" s="1"/>
  <c r="K2" i="1"/>
  <c r="J2" i="1"/>
  <c r="J1" i="1"/>
  <c r="E3" i="6"/>
  <c r="E4" i="6"/>
  <c r="E5" i="6"/>
  <c r="E6" i="6"/>
  <c r="E7" i="6"/>
  <c r="E8" i="6"/>
  <c r="E9" i="6"/>
  <c r="E10" i="6"/>
  <c r="E11" i="6"/>
  <c r="E12" i="6"/>
  <c r="E2" i="6"/>
  <c r="D12" i="6"/>
  <c r="D11" i="6"/>
  <c r="D10" i="6"/>
  <c r="D9" i="6"/>
  <c r="D8" i="6"/>
  <c r="D7" i="6"/>
  <c r="D6" i="6"/>
  <c r="D5" i="6"/>
  <c r="D4" i="6"/>
  <c r="D3" i="6"/>
  <c r="D2" i="6"/>
  <c r="B13" i="6"/>
  <c r="B3" i="5" l="1"/>
  <c r="B2" i="5"/>
</calcChain>
</file>

<file path=xl/comments1.xml><?xml version="1.0" encoding="utf-8"?>
<comments xmlns="http://schemas.openxmlformats.org/spreadsheetml/2006/main">
  <authors>
    <author>Alvarez Rodriguez, Bayron David</author>
  </authors>
  <commentList>
    <comment ref="L1" authorId="0">
      <text>
        <r>
          <rPr>
            <b/>
            <sz val="9"/>
            <color indexed="81"/>
            <rFont val="Tahoma"/>
            <family val="2"/>
          </rPr>
          <t>Alvarez Rodriguez, Bayron David:</t>
        </r>
        <r>
          <rPr>
            <sz val="9"/>
            <color indexed="81"/>
            <rFont val="Tahoma"/>
            <family val="2"/>
          </rPr>
          <t xml:space="preserve">
Información para el uso de la macro, no relevante para el usuario final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Alvarez Rodriguez, Bayron David:</t>
        </r>
        <r>
          <rPr>
            <sz val="9"/>
            <color indexed="81"/>
            <rFont val="Tahoma"/>
            <family val="2"/>
          </rPr>
          <t xml:space="preserve">
Información para el uso de la macro, no relevante para el usuario final</t>
        </r>
      </text>
    </comment>
  </commentList>
</comments>
</file>

<file path=xl/sharedStrings.xml><?xml version="1.0" encoding="utf-8"?>
<sst xmlns="http://schemas.openxmlformats.org/spreadsheetml/2006/main" count="2923" uniqueCount="372">
  <si>
    <t xml:space="preserve">  13889793</t>
  </si>
  <si>
    <t>6189795310</t>
  </si>
  <si>
    <t>EN</t>
  </si>
  <si>
    <t>44111</t>
  </si>
  <si>
    <t xml:space="preserve">  13889794</t>
  </si>
  <si>
    <t>6189795311</t>
  </si>
  <si>
    <t xml:space="preserve">  13889795</t>
  </si>
  <si>
    <t>6189795312</t>
  </si>
  <si>
    <t xml:space="preserve">  13889798</t>
  </si>
  <si>
    <t>6189795315</t>
  </si>
  <si>
    <t xml:space="preserve">  13889806</t>
  </si>
  <si>
    <t>6189795318</t>
  </si>
  <si>
    <t xml:space="preserve">  13889807</t>
  </si>
  <si>
    <t>6189795319</t>
  </si>
  <si>
    <t xml:space="preserve">  13889809</t>
  </si>
  <si>
    <t>6189795321</t>
  </si>
  <si>
    <t xml:space="preserve">  13889814</t>
  </si>
  <si>
    <t>6189795326</t>
  </si>
  <si>
    <t xml:space="preserve">  13889819</t>
  </si>
  <si>
    <t>6189795331</t>
  </si>
  <si>
    <t xml:space="preserve">  13889820</t>
  </si>
  <si>
    <t>6189795332</t>
  </si>
  <si>
    <t xml:space="preserve">  13889938</t>
  </si>
  <si>
    <t>6189797304</t>
  </si>
  <si>
    <t xml:space="preserve">  13889946</t>
  </si>
  <si>
    <t>6189797312</t>
  </si>
  <si>
    <t xml:space="preserve">  13920822</t>
  </si>
  <si>
    <t>6197164302</t>
  </si>
  <si>
    <t xml:space="preserve">  13920828</t>
  </si>
  <si>
    <t>6197164308</t>
  </si>
  <si>
    <t xml:space="preserve">  13921193</t>
  </si>
  <si>
    <t>6197171311</t>
  </si>
  <si>
    <t xml:space="preserve">  13920839</t>
  </si>
  <si>
    <t>6197164319</t>
  </si>
  <si>
    <t xml:space="preserve">  13921155</t>
  </si>
  <si>
    <t>6197169333</t>
  </si>
  <si>
    <t xml:space="preserve">  13921190</t>
  </si>
  <si>
    <t>6197171309</t>
  </si>
  <si>
    <t xml:space="preserve">  13950077</t>
  </si>
  <si>
    <t>6207317308</t>
  </si>
  <si>
    <t xml:space="preserve">  13950079</t>
  </si>
  <si>
    <t>6207317310</t>
  </si>
  <si>
    <t xml:space="preserve">  13950085</t>
  </si>
  <si>
    <t>6207317316</t>
  </si>
  <si>
    <t xml:space="preserve">  13950089</t>
  </si>
  <si>
    <t>6207317320</t>
  </si>
  <si>
    <t xml:space="preserve">  13950095</t>
  </si>
  <si>
    <t>6207317326</t>
  </si>
  <si>
    <t xml:space="preserve">  13950105</t>
  </si>
  <si>
    <t>6207317336</t>
  </si>
  <si>
    <t xml:space="preserve">  13950114</t>
  </si>
  <si>
    <t>6207318305</t>
  </si>
  <si>
    <t xml:space="preserve">  13950118</t>
  </si>
  <si>
    <t>6207318309</t>
  </si>
  <si>
    <t xml:space="preserve">  13950122</t>
  </si>
  <si>
    <t>6207318313</t>
  </si>
  <si>
    <t xml:space="preserve">  13950134</t>
  </si>
  <si>
    <t>6207318325</t>
  </si>
  <si>
    <t xml:space="preserve">  13950142</t>
  </si>
  <si>
    <t>6207318333</t>
  </si>
  <si>
    <t xml:space="preserve">  13950169</t>
  </si>
  <si>
    <t>6207319320</t>
  </si>
  <si>
    <t xml:space="preserve">  13950159</t>
  </si>
  <si>
    <t>6207319310</t>
  </si>
  <si>
    <t xml:space="preserve">  13950163</t>
  </si>
  <si>
    <t>6207319314</t>
  </si>
  <si>
    <t xml:space="preserve">  13950165</t>
  </si>
  <si>
    <t>6207319316</t>
  </si>
  <si>
    <t xml:space="preserve">  13950167</t>
  </si>
  <si>
    <t>6207319318</t>
  </si>
  <si>
    <t xml:space="preserve">  13950171</t>
  </si>
  <si>
    <t>6207319322</t>
  </si>
  <si>
    <t xml:space="preserve">  13950173</t>
  </si>
  <si>
    <t>6207319324</t>
  </si>
  <si>
    <t xml:space="preserve">  13950175</t>
  </si>
  <si>
    <t>6207319326</t>
  </si>
  <si>
    <t xml:space="preserve">  13950190</t>
  </si>
  <si>
    <t>6207319336</t>
  </si>
  <si>
    <t xml:space="preserve">  13950181</t>
  </si>
  <si>
    <t>6207319332</t>
  </si>
  <si>
    <t xml:space="preserve">  13950184</t>
  </si>
  <si>
    <t>6207319334</t>
  </si>
  <si>
    <t xml:space="preserve">  13950192</t>
  </si>
  <si>
    <t>6207319338</t>
  </si>
  <si>
    <t xml:space="preserve">  13950194</t>
  </si>
  <si>
    <t>6207319340</t>
  </si>
  <si>
    <t xml:space="preserve">  13950198</t>
  </si>
  <si>
    <t>6207320304</t>
  </si>
  <si>
    <t xml:space="preserve">  13950206</t>
  </si>
  <si>
    <t>6207320312</t>
  </si>
  <si>
    <t xml:space="preserve">  13950200</t>
  </si>
  <si>
    <t>6207320306</t>
  </si>
  <si>
    <t xml:space="preserve">  13950202</t>
  </si>
  <si>
    <t>6207320308</t>
  </si>
  <si>
    <t xml:space="preserve">  13950204</t>
  </si>
  <si>
    <t>6207320310</t>
  </si>
  <si>
    <t xml:space="preserve">  13950210</t>
  </si>
  <si>
    <t>6207320316</t>
  </si>
  <si>
    <t xml:space="preserve">  13950212</t>
  </si>
  <si>
    <t>6207320318</t>
  </si>
  <si>
    <t xml:space="preserve">  13950214</t>
  </si>
  <si>
    <t>6207320320</t>
  </si>
  <si>
    <t xml:space="preserve">  13950216</t>
  </si>
  <si>
    <t>6207320322</t>
  </si>
  <si>
    <t xml:space="preserve">  13950218</t>
  </si>
  <si>
    <t>6207320324</t>
  </si>
  <si>
    <t xml:space="preserve">  13950220</t>
  </si>
  <si>
    <t>6207320326</t>
  </si>
  <si>
    <t xml:space="preserve">  13950222</t>
  </si>
  <si>
    <t>6207320328</t>
  </si>
  <si>
    <t xml:space="preserve">  13950224</t>
  </si>
  <si>
    <t>6207320330</t>
  </si>
  <si>
    <t xml:space="preserve">  13950228</t>
  </si>
  <si>
    <t>6207320334</t>
  </si>
  <si>
    <t xml:space="preserve">  13950230</t>
  </si>
  <si>
    <t>6207320336</t>
  </si>
  <si>
    <t xml:space="preserve">  13950232</t>
  </si>
  <si>
    <t>6207320338</t>
  </si>
  <si>
    <t xml:space="preserve">  13950234</t>
  </si>
  <si>
    <t>6207320340</t>
  </si>
  <si>
    <t xml:space="preserve">  13950336</t>
  </si>
  <si>
    <t>6207323323</t>
  </si>
  <si>
    <t xml:space="preserve">  13950882</t>
  </si>
  <si>
    <t>6207337307</t>
  </si>
  <si>
    <t xml:space="preserve">  13950903</t>
  </si>
  <si>
    <t>6207337326</t>
  </si>
  <si>
    <t xml:space="preserve">  13950899</t>
  </si>
  <si>
    <t>6207337322</t>
  </si>
  <si>
    <t xml:space="preserve">  13950901</t>
  </si>
  <si>
    <t>6207337324</t>
  </si>
  <si>
    <t xml:space="preserve">  13950912</t>
  </si>
  <si>
    <t>6207337332</t>
  </si>
  <si>
    <t xml:space="preserve">  13950849</t>
  </si>
  <si>
    <t>6207337301</t>
  </si>
  <si>
    <t xml:space="preserve">  13995528</t>
  </si>
  <si>
    <t>6222590306</t>
  </si>
  <si>
    <t xml:space="preserve">  13995530</t>
  </si>
  <si>
    <t>6222590308</t>
  </si>
  <si>
    <t xml:space="preserve">  13995531</t>
  </si>
  <si>
    <t>6222590309</t>
  </si>
  <si>
    <t xml:space="preserve">  13995532</t>
  </si>
  <si>
    <t>6222590310</t>
  </si>
  <si>
    <t xml:space="preserve">  13995538</t>
  </si>
  <si>
    <t>6222590313</t>
  </si>
  <si>
    <t xml:space="preserve">  13995539</t>
  </si>
  <si>
    <t>6222590314</t>
  </si>
  <si>
    <t xml:space="preserve">  13995543</t>
  </si>
  <si>
    <t>6222590317</t>
  </si>
  <si>
    <t xml:space="preserve">  13995544</t>
  </si>
  <si>
    <t>6222590318</t>
  </si>
  <si>
    <t xml:space="preserve">  13995549</t>
  </si>
  <si>
    <t>6222590323</t>
  </si>
  <si>
    <t xml:space="preserve">  13995550</t>
  </si>
  <si>
    <t>6222590324</t>
  </si>
  <si>
    <t xml:space="preserve">  13995551</t>
  </si>
  <si>
    <t>6222590325</t>
  </si>
  <si>
    <t xml:space="preserve">  14072886</t>
  </si>
  <si>
    <t>6245231301</t>
  </si>
  <si>
    <t xml:space="preserve">  14072889</t>
  </si>
  <si>
    <t>6245231302</t>
  </si>
  <si>
    <t xml:space="preserve">  14072893</t>
  </si>
  <si>
    <t>6245231304</t>
  </si>
  <si>
    <t xml:space="preserve">  14072894</t>
  </si>
  <si>
    <t>6245231305</t>
  </si>
  <si>
    <t xml:space="preserve">  14072898</t>
  </si>
  <si>
    <t>6245231307</t>
  </si>
  <si>
    <t xml:space="preserve">  14072899</t>
  </si>
  <si>
    <t>6245231308</t>
  </si>
  <si>
    <t xml:space="preserve">  14072948</t>
  </si>
  <si>
    <t>6245230339</t>
  </si>
  <si>
    <t xml:space="preserve">  14072975</t>
  </si>
  <si>
    <t>6245231329</t>
  </si>
  <si>
    <t xml:space="preserve">  14072976</t>
  </si>
  <si>
    <t>6245231330</t>
  </si>
  <si>
    <t xml:space="preserve">  14072978</t>
  </si>
  <si>
    <t>6245231331</t>
  </si>
  <si>
    <t xml:space="preserve">  14072980</t>
  </si>
  <si>
    <t>6245231332</t>
  </si>
  <si>
    <t xml:space="preserve">  14072984</t>
  </si>
  <si>
    <t>6245231333</t>
  </si>
  <si>
    <t xml:space="preserve">  14072986</t>
  </si>
  <si>
    <t>6245231334</t>
  </si>
  <si>
    <t xml:space="preserve">  14072991</t>
  </si>
  <si>
    <t>6245231335</t>
  </si>
  <si>
    <t xml:space="preserve">  14072992</t>
  </si>
  <si>
    <t>6245231336</t>
  </si>
  <si>
    <t xml:space="preserve">  14072994</t>
  </si>
  <si>
    <t>6245231338</t>
  </si>
  <si>
    <t xml:space="preserve">  14072996</t>
  </si>
  <si>
    <t>6245231340</t>
  </si>
  <si>
    <t xml:space="preserve">  14073536</t>
  </si>
  <si>
    <t>6245233333</t>
  </si>
  <si>
    <t xml:space="preserve">  14102247</t>
  </si>
  <si>
    <t>6256388305</t>
  </si>
  <si>
    <t xml:space="preserve">  14102512</t>
  </si>
  <si>
    <t>6256390319</t>
  </si>
  <si>
    <t xml:space="preserve">  14102429</t>
  </si>
  <si>
    <t>6256390309</t>
  </si>
  <si>
    <t xml:space="preserve">  14102438</t>
  </si>
  <si>
    <t>6256390310</t>
  </si>
  <si>
    <t xml:space="preserve">  14102479</t>
  </si>
  <si>
    <t>6256390313</t>
  </si>
  <si>
    <t xml:space="preserve">  14102548</t>
  </si>
  <si>
    <t>6256390330</t>
  </si>
  <si>
    <t xml:space="preserve">  14121464</t>
  </si>
  <si>
    <t>6260509310</t>
  </si>
  <si>
    <t xml:space="preserve">  14121466</t>
  </si>
  <si>
    <t>6260509312</t>
  </si>
  <si>
    <t xml:space="preserve">  14121461</t>
  </si>
  <si>
    <t>6260509307</t>
  </si>
  <si>
    <t xml:space="preserve">  14121462</t>
  </si>
  <si>
    <t>6260509308</t>
  </si>
  <si>
    <t xml:space="preserve">  14121467</t>
  </si>
  <si>
    <t>6260509313</t>
  </si>
  <si>
    <t xml:space="preserve">  14121468</t>
  </si>
  <si>
    <t>6260509314</t>
  </si>
  <si>
    <t xml:space="preserve">  14410922</t>
  </si>
  <si>
    <t>6351511324</t>
  </si>
  <si>
    <t xml:space="preserve">  14410928</t>
  </si>
  <si>
    <t>6351511327</t>
  </si>
  <si>
    <t xml:space="preserve">  14411729</t>
  </si>
  <si>
    <t>6351523322</t>
  </si>
  <si>
    <t xml:space="preserve">  14410955</t>
  </si>
  <si>
    <t>6351511337</t>
  </si>
  <si>
    <t xml:space="preserve">  14435539</t>
  </si>
  <si>
    <t>6358640321</t>
  </si>
  <si>
    <t xml:space="preserve">  14435537</t>
  </si>
  <si>
    <t>6358640319</t>
  </si>
  <si>
    <t xml:space="preserve">  14520409</t>
  </si>
  <si>
    <t>7023298332</t>
  </si>
  <si>
    <t xml:space="preserve">  14520410</t>
  </si>
  <si>
    <t>7023298333</t>
  </si>
  <si>
    <t xml:space="preserve">  14520630</t>
  </si>
  <si>
    <t>7023301326</t>
  </si>
  <si>
    <t xml:space="preserve">  14521131</t>
  </si>
  <si>
    <t>7023307303</t>
  </si>
  <si>
    <t xml:space="preserve">  14530712</t>
  </si>
  <si>
    <t>7025356312</t>
  </si>
  <si>
    <t xml:space="preserve">  14530690</t>
  </si>
  <si>
    <t>7025356309</t>
  </si>
  <si>
    <t xml:space="preserve">  14530664</t>
  </si>
  <si>
    <t>7025356304</t>
  </si>
  <si>
    <t xml:space="preserve">  14530688</t>
  </si>
  <si>
    <t>7025356308</t>
  </si>
  <si>
    <t xml:space="preserve">  14530694</t>
  </si>
  <si>
    <t>7025356310</t>
  </si>
  <si>
    <t xml:space="preserve">  14599315</t>
  </si>
  <si>
    <t>7046722304</t>
  </si>
  <si>
    <t xml:space="preserve">  14599346</t>
  </si>
  <si>
    <t>7046722335</t>
  </si>
  <si>
    <t xml:space="preserve">  14695338</t>
  </si>
  <si>
    <t>7074445326</t>
  </si>
  <si>
    <t xml:space="preserve">  14695535</t>
  </si>
  <si>
    <t>7074446305</t>
  </si>
  <si>
    <t xml:space="preserve">  14695306</t>
  </si>
  <si>
    <t>7074443340</t>
  </si>
  <si>
    <t xml:space="preserve">  14717851</t>
  </si>
  <si>
    <t>7081545307</t>
  </si>
  <si>
    <t xml:space="preserve">  14717861</t>
  </si>
  <si>
    <t>7081545311</t>
  </si>
  <si>
    <t xml:space="preserve">  14717847</t>
  </si>
  <si>
    <t>7081545305</t>
  </si>
  <si>
    <t xml:space="preserve">  14717849</t>
  </si>
  <si>
    <t>7081545306</t>
  </si>
  <si>
    <t xml:space="preserve">  14717854</t>
  </si>
  <si>
    <t>7081545308</t>
  </si>
  <si>
    <t xml:space="preserve">  14717867</t>
  </si>
  <si>
    <t>7081545313</t>
  </si>
  <si>
    <t xml:space="preserve">  14717869</t>
  </si>
  <si>
    <t>7081545314</t>
  </si>
  <si>
    <t xml:space="preserve">  14717999</t>
  </si>
  <si>
    <t>7081548326</t>
  </si>
  <si>
    <t xml:space="preserve">  14717886</t>
  </si>
  <si>
    <t>7081545319</t>
  </si>
  <si>
    <t xml:space="preserve">  14717889</t>
  </si>
  <si>
    <t>7081545321</t>
  </si>
  <si>
    <t xml:space="preserve">  14717891</t>
  </si>
  <si>
    <t>7081545322</t>
  </si>
  <si>
    <t xml:space="preserve">  14717887</t>
  </si>
  <si>
    <t>7081545320</t>
  </si>
  <si>
    <t xml:space="preserve">  14717905</t>
  </si>
  <si>
    <t>7081545327</t>
  </si>
  <si>
    <t xml:space="preserve">  14717907</t>
  </si>
  <si>
    <t>7081545329</t>
  </si>
  <si>
    <t xml:space="preserve">  14717914</t>
  </si>
  <si>
    <t>7081545332</t>
  </si>
  <si>
    <t xml:space="preserve">  14717917</t>
  </si>
  <si>
    <t>7081545335</t>
  </si>
  <si>
    <t xml:space="preserve">  14717921</t>
  </si>
  <si>
    <t>7081545337</t>
  </si>
  <si>
    <t xml:space="preserve">  14717936</t>
  </si>
  <si>
    <t>7081548301</t>
  </si>
  <si>
    <t xml:space="preserve">  14717941</t>
  </si>
  <si>
    <t>7081548304</t>
  </si>
  <si>
    <t xml:space="preserve">  14717955</t>
  </si>
  <si>
    <t>7081548306</t>
  </si>
  <si>
    <t xml:space="preserve">  14717959</t>
  </si>
  <si>
    <t>7081548308</t>
  </si>
  <si>
    <t xml:space="preserve">  14717971</t>
  </si>
  <si>
    <t>7081548312</t>
  </si>
  <si>
    <t xml:space="preserve">  14717993</t>
  </si>
  <si>
    <t>7081548322</t>
  </si>
  <si>
    <t xml:space="preserve">  14717998</t>
  </si>
  <si>
    <t>7081548325</t>
  </si>
  <si>
    <t xml:space="preserve">  14760339</t>
  </si>
  <si>
    <t>7095778340</t>
  </si>
  <si>
    <t xml:space="preserve">  14760341</t>
  </si>
  <si>
    <t>7095779302</t>
  </si>
  <si>
    <t xml:space="preserve">  14760349</t>
  </si>
  <si>
    <t>7095779306</t>
  </si>
  <si>
    <t xml:space="preserve">  14760351</t>
  </si>
  <si>
    <t>7095779307</t>
  </si>
  <si>
    <t xml:space="preserve">  14760374</t>
  </si>
  <si>
    <t>7095779317</t>
  </si>
  <si>
    <t xml:space="preserve">  14760474</t>
  </si>
  <si>
    <t>7095780319</t>
  </si>
  <si>
    <t xml:space="preserve">  14760475</t>
  </si>
  <si>
    <t>7095780320</t>
  </si>
  <si>
    <t xml:space="preserve">  14760476</t>
  </si>
  <si>
    <t>7095780321</t>
  </si>
  <si>
    <t>SEQ #</t>
  </si>
  <si>
    <t>SAMPLE NUMBER</t>
  </si>
  <si>
    <t>APP TYPE</t>
  </si>
  <si>
    <t>TBN</t>
  </si>
  <si>
    <t>PRODUCT NUMBER</t>
  </si>
  <si>
    <t>PRODUCT NAME</t>
  </si>
  <si>
    <t>SOOT</t>
  </si>
  <si>
    <t>WATER</t>
  </si>
  <si>
    <t>DELVAC 1 5W-40</t>
  </si>
  <si>
    <t>0.00</t>
  </si>
  <si>
    <t>N/A</t>
  </si>
  <si>
    <t>0.11</t>
  </si>
  <si>
    <t>0.13</t>
  </si>
  <si>
    <t>0.14</t>
  </si>
  <si>
    <t>0.39</t>
  </si>
  <si>
    <t>0.23</t>
  </si>
  <si>
    <t>0.22</t>
  </si>
  <si>
    <t>Min Value</t>
  </si>
  <si>
    <t>Max Value</t>
  </si>
  <si>
    <t>Step Width</t>
  </si>
  <si>
    <t>Calculations</t>
  </si>
  <si>
    <t>Bin Values</t>
  </si>
  <si>
    <t>Bin</t>
  </si>
  <si>
    <t>Frequency</t>
  </si>
  <si>
    <t>Cumulative %</t>
  </si>
  <si>
    <t>% of Total</t>
  </si>
  <si>
    <t>151 Sample Dist.</t>
  </si>
  <si>
    <t>&gt; 9.95</t>
  </si>
  <si>
    <t>9.23 - 9.95</t>
  </si>
  <si>
    <t>8.51 - 9.23</t>
  </si>
  <si>
    <t>7.79 - 8.51</t>
  </si>
  <si>
    <t>7.07 - 7.79</t>
  </si>
  <si>
    <t>6.35 - 7.07</t>
  </si>
  <si>
    <t>5.63 - 6.35</t>
  </si>
  <si>
    <t>4.91 - 5.63</t>
  </si>
  <si>
    <t>4.19 - 4.91</t>
  </si>
  <si>
    <t>3.47 - 4.19</t>
  </si>
  <si>
    <t>0 - 3.47</t>
  </si>
  <si>
    <t>STANDARD NUMBER</t>
  </si>
  <si>
    <t>RANDOM</t>
  </si>
  <si>
    <t>RDN GROUP</t>
  </si>
  <si>
    <t>validacion</t>
  </si>
  <si>
    <t>calibracion</t>
  </si>
  <si>
    <t/>
  </si>
  <si>
    <t xml:space="preserve">VALIDATn </t>
  </si>
  <si>
    <t xml:space="preserve"> Property</t>
  </si>
  <si>
    <t xml:space="preserve"> Property_1</t>
  </si>
  <si>
    <t xml:space="preserve"> NORMALIZATn</t>
  </si>
  <si>
    <t xml:space="preserve">FULL </t>
  </si>
  <si>
    <t xml:space="preserve"> STANDARDS</t>
  </si>
  <si>
    <t xml:space="preserve"> mgKOH</t>
  </si>
  <si>
    <t xml:space="preserve">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</si>
</sst>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3" fillId="0" borderId="0" xfId="0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 applyAlignment="1"/>
    <xf numFmtId="1" fontId="0" fillId="0" borderId="0" xfId="0" applyNumberFormat="1"/>
    <xf numFmtId="0" fontId="3" fillId="0" borderId="1" xfId="0" applyFont="1" applyFill="1" applyBorder="1" applyAlignment="1">
      <alignment horizontal="center"/>
    </xf>
    <xf numFmtId="0" fontId="0" fillId="0" borderId="2" xfId="0" applyNumberFormat="1" applyFill="1" applyBorder="1" applyAlignment="1"/>
    <xf numFmtId="0" fontId="0" fillId="0" borderId="2" xfId="0" applyFill="1" applyBorder="1" applyAlignment="1"/>
    <xf numFmtId="10" fontId="0" fillId="0" borderId="2" xfId="0" applyNumberFormat="1" applyFill="1" applyBorder="1" applyAlignment="1"/>
    <xf numFmtId="1" fontId="0" fillId="0" borderId="2" xfId="0" applyNumberFormat="1" applyFill="1" applyBorder="1" applyAlignment="1"/>
    <xf numFmtId="0" fontId="0" fillId="0" borderId="3" xfId="0" applyFill="1" applyBorder="1" applyAlignment="1"/>
    <xf numFmtId="10" fontId="0" fillId="0" borderId="3" xfId="0" applyNumberFormat="1" applyFill="1" applyBorder="1" applyAlignment="1"/>
    <xf numFmtId="1" fontId="0" fillId="0" borderId="3" xfId="0" applyNumberFormat="1" applyFill="1" applyBorder="1" applyAlignment="1"/>
    <xf numFmtId="0" fontId="1" fillId="0" borderId="0" xfId="1"/>
    <xf numFmtId="0" fontId="2" fillId="0" borderId="0" xfId="1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Histogram!$A$2:$A$12</c:f>
              <c:strCache>
                <c:ptCount val="11"/>
                <c:pt idx="0">
                  <c:v>0 - 3.47</c:v>
                </c:pt>
                <c:pt idx="1">
                  <c:v>3.47 - 4.19</c:v>
                </c:pt>
                <c:pt idx="2">
                  <c:v>4.19 - 4.91</c:v>
                </c:pt>
                <c:pt idx="3">
                  <c:v>4.91 - 5.63</c:v>
                </c:pt>
                <c:pt idx="4">
                  <c:v>5.63 - 6.35</c:v>
                </c:pt>
                <c:pt idx="5">
                  <c:v>6.35 - 7.07</c:v>
                </c:pt>
                <c:pt idx="6">
                  <c:v>7.07 - 7.79</c:v>
                </c:pt>
                <c:pt idx="7">
                  <c:v>7.79 - 8.51</c:v>
                </c:pt>
                <c:pt idx="8">
                  <c:v>8.51 - 9.23</c:v>
                </c:pt>
                <c:pt idx="9">
                  <c:v>9.23 - 9.95</c:v>
                </c:pt>
                <c:pt idx="10">
                  <c:v>&gt; 9.95</c:v>
                </c:pt>
              </c:strCache>
            </c:strRef>
          </c:cat>
          <c:val>
            <c:numRef>
              <c:f>Histogram!$B$2:$B$12</c:f>
              <c:numCache>
                <c:formatCode>General</c:formatCode>
                <c:ptCount val="11"/>
                <c:pt idx="0">
                  <c:v>0</c:v>
                </c:pt>
                <c:pt idx="1">
                  <c:v>3</c:v>
                </c:pt>
                <c:pt idx="2">
                  <c:v>7</c:v>
                </c:pt>
                <c:pt idx="3">
                  <c:v>14</c:v>
                </c:pt>
                <c:pt idx="4">
                  <c:v>30</c:v>
                </c:pt>
                <c:pt idx="5">
                  <c:v>25</c:v>
                </c:pt>
                <c:pt idx="6">
                  <c:v>18</c:v>
                </c:pt>
                <c:pt idx="7">
                  <c:v>15</c:v>
                </c:pt>
                <c:pt idx="8">
                  <c:v>9</c:v>
                </c:pt>
                <c:pt idx="9">
                  <c:v>22</c:v>
                </c:pt>
                <c:pt idx="10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823360"/>
        <c:axId val="437824896"/>
      </c:barChart>
      <c:catAx>
        <c:axId val="437823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437824896"/>
        <c:crosses val="autoZero"/>
        <c:auto val="1"/>
        <c:lblAlgn val="ctr"/>
        <c:lblOffset val="100"/>
        <c:noMultiLvlLbl val="0"/>
      </c:catAx>
      <c:valAx>
        <c:axId val="437824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378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0</xdr:row>
      <xdr:rowOff>142875</xdr:rowOff>
    </xdr:from>
    <xdr:to>
      <xdr:col>15</xdr:col>
      <xdr:colOff>0</xdr:colOff>
      <xdr:row>24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180975</xdr:rowOff>
        </xdr:from>
        <xdr:to>
          <xdr:col>9</xdr:col>
          <xdr:colOff>152400</xdr:colOff>
          <xdr:row>5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Calibration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6</xdr:row>
          <xdr:rowOff>123825</xdr:rowOff>
        </xdr:from>
        <xdr:to>
          <xdr:col>9</xdr:col>
          <xdr:colOff>152400</xdr:colOff>
          <xdr:row>10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Calibration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11</xdr:row>
          <xdr:rowOff>76200</xdr:rowOff>
        </xdr:from>
        <xdr:to>
          <xdr:col>9</xdr:col>
          <xdr:colOff>152400</xdr:colOff>
          <xdr:row>14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Validation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TORR1/Desktop/Quimiometria/Set%20calibraci&#243;n%20y%20validaci&#243;n%20GQ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SV Export Instructions"/>
      <sheetName val="Complement"/>
      <sheetName val="Calibration Set"/>
    </sheetNames>
    <definedNames>
      <definedName name="Export_CSV"/>
      <definedName name="Export_CSV1"/>
      <definedName name="Export_CSV2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/>
  </sheetViews>
  <sheetFormatPr defaultRowHeight="15" x14ac:dyDescent="0.25"/>
  <sheetData>
    <row r="1" spans="1:3" x14ac:dyDescent="0.25">
      <c r="B1" t="s">
        <v>340</v>
      </c>
      <c r="C1" t="s">
        <v>341</v>
      </c>
    </row>
    <row r="2" spans="1:3" x14ac:dyDescent="0.25">
      <c r="A2" t="s">
        <v>337</v>
      </c>
      <c r="B2">
        <f>MIN('Raw Data'!E:E)</f>
        <v>3.65</v>
      </c>
      <c r="C2">
        <v>3.47</v>
      </c>
    </row>
    <row r="3" spans="1:3" x14ac:dyDescent="0.25">
      <c r="A3" t="s">
        <v>338</v>
      </c>
      <c r="B3">
        <f>MAX('Raw Data'!E:E)</f>
        <v>10.72</v>
      </c>
      <c r="C3">
        <v>4.1900000000000004</v>
      </c>
    </row>
    <row r="4" spans="1:3" x14ac:dyDescent="0.25">
      <c r="A4" t="s">
        <v>339</v>
      </c>
      <c r="B4">
        <v>0.72</v>
      </c>
      <c r="C4">
        <v>4.91</v>
      </c>
    </row>
    <row r="5" spans="1:3" x14ac:dyDescent="0.25">
      <c r="C5">
        <v>5.63</v>
      </c>
    </row>
    <row r="6" spans="1:3" x14ac:dyDescent="0.25">
      <c r="C6">
        <v>6.35</v>
      </c>
    </row>
    <row r="7" spans="1:3" x14ac:dyDescent="0.25">
      <c r="C7">
        <v>7.0699999999999994</v>
      </c>
    </row>
    <row r="8" spans="1:3" x14ac:dyDescent="0.25">
      <c r="C8">
        <v>7.7899999999999991</v>
      </c>
    </row>
    <row r="9" spans="1:3" x14ac:dyDescent="0.25">
      <c r="C9">
        <v>8.51</v>
      </c>
    </row>
    <row r="10" spans="1:3" x14ac:dyDescent="0.25">
      <c r="C10">
        <v>9.23</v>
      </c>
    </row>
    <row r="11" spans="1:3" x14ac:dyDescent="0.25">
      <c r="C11">
        <v>9.9500000000000011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"/>
  <sheetViews>
    <sheetView workbookViewId="0">
      <selection sqref="A1:XFD1048576"/>
    </sheetView>
  </sheetViews>
  <sheetFormatPr defaultRowHeight="15" x14ac:dyDescent="0.25"/>
  <cols>
    <col min="1" max="1" width="9.7109375" bestFit="1" customWidth="1"/>
    <col min="2" max="2" width="10.5703125" bestFit="1" customWidth="1"/>
    <col min="3" max="3" width="13.5703125" bestFit="1" customWidth="1"/>
    <col min="4" max="4" width="10.28515625" bestFit="1" customWidth="1"/>
    <col min="5" max="5" width="15.85546875" style="10" bestFit="1" customWidth="1"/>
  </cols>
  <sheetData>
    <row r="1" spans="1:5" x14ac:dyDescent="0.25">
      <c r="A1" s="11" t="s">
        <v>342</v>
      </c>
      <c r="B1" s="11" t="s">
        <v>343</v>
      </c>
      <c r="C1" s="11" t="s">
        <v>344</v>
      </c>
      <c r="D1" s="7" t="s">
        <v>345</v>
      </c>
      <c r="E1" s="8" t="s">
        <v>346</v>
      </c>
    </row>
    <row r="2" spans="1:5" x14ac:dyDescent="0.25">
      <c r="A2" s="12" t="s">
        <v>357</v>
      </c>
      <c r="B2" s="13">
        <v>0</v>
      </c>
      <c r="C2" s="14">
        <v>0</v>
      </c>
      <c r="D2" s="14">
        <f>C2</f>
        <v>0</v>
      </c>
      <c r="E2" s="15">
        <f>ROUNDDOWN(151*D2,0)</f>
        <v>0</v>
      </c>
    </row>
    <row r="3" spans="1:5" x14ac:dyDescent="0.25">
      <c r="A3" s="4" t="s">
        <v>356</v>
      </c>
      <c r="B3" s="5">
        <v>3</v>
      </c>
      <c r="C3" s="6">
        <v>1.8867924528301886E-2</v>
      </c>
      <c r="D3" s="6">
        <f>C3-C2</f>
        <v>1.8867924528301886E-2</v>
      </c>
      <c r="E3" s="9">
        <f t="shared" ref="E3:E12" si="0">ROUNDDOWN(151*D3,0)</f>
        <v>2</v>
      </c>
    </row>
    <row r="4" spans="1:5" x14ac:dyDescent="0.25">
      <c r="A4" s="4" t="s">
        <v>355</v>
      </c>
      <c r="B4" s="5">
        <v>7</v>
      </c>
      <c r="C4" s="6">
        <v>6.2893081761006289E-2</v>
      </c>
      <c r="D4" s="6">
        <f>C4-C3</f>
        <v>4.4025157232704407E-2</v>
      </c>
      <c r="E4" s="9">
        <f t="shared" si="0"/>
        <v>6</v>
      </c>
    </row>
    <row r="5" spans="1:5" x14ac:dyDescent="0.25">
      <c r="A5" s="4" t="s">
        <v>354</v>
      </c>
      <c r="B5" s="5">
        <v>14</v>
      </c>
      <c r="C5" s="6">
        <v>0.15094339622641509</v>
      </c>
      <c r="D5" s="6">
        <f>C5-C4</f>
        <v>8.8050314465408799E-2</v>
      </c>
      <c r="E5" s="9">
        <f t="shared" si="0"/>
        <v>13</v>
      </c>
    </row>
    <row r="6" spans="1:5" x14ac:dyDescent="0.25">
      <c r="A6" s="4" t="s">
        <v>353</v>
      </c>
      <c r="B6" s="5">
        <v>30</v>
      </c>
      <c r="C6" s="6">
        <v>0.33962264150943394</v>
      </c>
      <c r="D6" s="6">
        <f>C6-C5</f>
        <v>0.18867924528301885</v>
      </c>
      <c r="E6" s="9">
        <f t="shared" si="0"/>
        <v>28</v>
      </c>
    </row>
    <row r="7" spans="1:5" x14ac:dyDescent="0.25">
      <c r="A7" s="4" t="s">
        <v>352</v>
      </c>
      <c r="B7" s="5">
        <v>25</v>
      </c>
      <c r="C7" s="6">
        <v>0.49685534591194969</v>
      </c>
      <c r="D7" s="6">
        <f>C7-C6</f>
        <v>0.15723270440251574</v>
      </c>
      <c r="E7" s="9">
        <f t="shared" si="0"/>
        <v>23</v>
      </c>
    </row>
    <row r="8" spans="1:5" x14ac:dyDescent="0.25">
      <c r="A8" s="4" t="s">
        <v>351</v>
      </c>
      <c r="B8" s="5">
        <v>18</v>
      </c>
      <c r="C8" s="6">
        <v>0.61006289308176098</v>
      </c>
      <c r="D8" s="6">
        <f>C8-C7</f>
        <v>0.1132075471698113</v>
      </c>
      <c r="E8" s="9">
        <f t="shared" si="0"/>
        <v>17</v>
      </c>
    </row>
    <row r="9" spans="1:5" x14ac:dyDescent="0.25">
      <c r="A9" s="4" t="s">
        <v>350</v>
      </c>
      <c r="B9" s="5">
        <v>15</v>
      </c>
      <c r="C9" s="6">
        <v>0.70440251572327039</v>
      </c>
      <c r="D9" s="6">
        <f>C9-C8</f>
        <v>9.4339622641509413E-2</v>
      </c>
      <c r="E9" s="9">
        <f t="shared" si="0"/>
        <v>14</v>
      </c>
    </row>
    <row r="10" spans="1:5" x14ac:dyDescent="0.25">
      <c r="A10" s="4" t="s">
        <v>349</v>
      </c>
      <c r="B10" s="5">
        <v>9</v>
      </c>
      <c r="C10" s="6">
        <v>0.76100628930817615</v>
      </c>
      <c r="D10" s="6">
        <f>C10-C9</f>
        <v>5.6603773584905759E-2</v>
      </c>
      <c r="E10" s="9">
        <f t="shared" si="0"/>
        <v>8</v>
      </c>
    </row>
    <row r="11" spans="1:5" x14ac:dyDescent="0.25">
      <c r="A11" s="4" t="s">
        <v>348</v>
      </c>
      <c r="B11" s="5">
        <v>22</v>
      </c>
      <c r="C11" s="6">
        <v>0.89937106918238996</v>
      </c>
      <c r="D11" s="6">
        <f>C11-C10</f>
        <v>0.13836477987421381</v>
      </c>
      <c r="E11" s="9">
        <f t="shared" si="0"/>
        <v>20</v>
      </c>
    </row>
    <row r="12" spans="1:5" ht="15.75" thickBot="1" x14ac:dyDescent="0.3">
      <c r="A12" s="16" t="s">
        <v>347</v>
      </c>
      <c r="B12" s="16">
        <v>16</v>
      </c>
      <c r="C12" s="17">
        <v>1</v>
      </c>
      <c r="D12" s="17">
        <f>C12-C11</f>
        <v>0.10062893081761004</v>
      </c>
      <c r="E12" s="18">
        <f t="shared" si="0"/>
        <v>15</v>
      </c>
    </row>
    <row r="13" spans="1:5" ht="15.75" thickTop="1" x14ac:dyDescent="0.25">
      <c r="B13">
        <f>SUM(B2:B12)</f>
        <v>159</v>
      </c>
    </row>
  </sheetData>
  <sortState ref="A2:A11">
    <sortCondition ref="A2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4"/>
  <sheetViews>
    <sheetView workbookViewId="0">
      <selection sqref="A1:A44"/>
    </sheetView>
  </sheetViews>
  <sheetFormatPr defaultRowHeight="15" x14ac:dyDescent="0.25"/>
  <sheetData>
    <row r="1" spans="1:1" x14ac:dyDescent="0.25">
      <c r="A1" t="s">
        <v>83</v>
      </c>
    </row>
    <row r="2" spans="1:1" x14ac:dyDescent="0.25">
      <c r="A2" t="s">
        <v>277</v>
      </c>
    </row>
    <row r="3" spans="1:1" x14ac:dyDescent="0.25">
      <c r="A3" t="s">
        <v>93</v>
      </c>
    </row>
    <row r="4" spans="1:1" x14ac:dyDescent="0.25">
      <c r="A4" t="s">
        <v>283</v>
      </c>
    </row>
    <row r="5" spans="1:1" x14ac:dyDescent="0.25">
      <c r="A5" t="s">
        <v>219</v>
      </c>
    </row>
    <row r="6" spans="1:1" x14ac:dyDescent="0.25">
      <c r="A6" t="s">
        <v>225</v>
      </c>
    </row>
    <row r="7" spans="1:1" x14ac:dyDescent="0.25">
      <c r="A7" t="s">
        <v>257</v>
      </c>
    </row>
    <row r="8" spans="1:1" x14ac:dyDescent="0.25">
      <c r="A8" t="s">
        <v>81</v>
      </c>
    </row>
    <row r="9" spans="1:1" x14ac:dyDescent="0.25">
      <c r="A9" t="s">
        <v>227</v>
      </c>
    </row>
    <row r="10" spans="1:1" x14ac:dyDescent="0.25">
      <c r="A10" t="s">
        <v>145</v>
      </c>
    </row>
    <row r="11" spans="1:1" x14ac:dyDescent="0.25">
      <c r="A11" t="s">
        <v>57</v>
      </c>
    </row>
    <row r="12" spans="1:1" x14ac:dyDescent="0.25">
      <c r="A12" t="s">
        <v>237</v>
      </c>
    </row>
    <row r="13" spans="1:1" x14ac:dyDescent="0.25">
      <c r="A13" t="s">
        <v>49</v>
      </c>
    </row>
    <row r="14" spans="1:1" x14ac:dyDescent="0.25">
      <c r="A14" t="s">
        <v>231</v>
      </c>
    </row>
    <row r="15" spans="1:1" x14ac:dyDescent="0.25">
      <c r="A15" t="s">
        <v>61</v>
      </c>
    </row>
    <row r="16" spans="1:1" x14ac:dyDescent="0.25">
      <c r="A16" t="s">
        <v>293</v>
      </c>
    </row>
    <row r="17" spans="1:1" x14ac:dyDescent="0.25">
      <c r="A17" t="s">
        <v>317</v>
      </c>
    </row>
    <row r="18" spans="1:1" x14ac:dyDescent="0.25">
      <c r="A18" t="s">
        <v>183</v>
      </c>
    </row>
    <row r="19" spans="1:1" x14ac:dyDescent="0.25">
      <c r="A19" t="s">
        <v>65</v>
      </c>
    </row>
    <row r="20" spans="1:1" x14ac:dyDescent="0.25">
      <c r="A20" t="s">
        <v>303</v>
      </c>
    </row>
    <row r="21" spans="1:1" x14ac:dyDescent="0.25">
      <c r="A21" t="s">
        <v>275</v>
      </c>
    </row>
    <row r="22" spans="1:1" x14ac:dyDescent="0.25">
      <c r="A22" t="s">
        <v>273</v>
      </c>
    </row>
    <row r="23" spans="1:1" x14ac:dyDescent="0.25">
      <c r="A23" t="s">
        <v>137</v>
      </c>
    </row>
    <row r="24" spans="1:1" x14ac:dyDescent="0.25">
      <c r="A24" t="s">
        <v>261</v>
      </c>
    </row>
    <row r="25" spans="1:1" x14ac:dyDescent="0.25">
      <c r="A25" t="s">
        <v>169</v>
      </c>
    </row>
    <row r="26" spans="1:1" x14ac:dyDescent="0.25">
      <c r="A26" t="s">
        <v>77</v>
      </c>
    </row>
    <row r="27" spans="1:1" x14ac:dyDescent="0.25">
      <c r="A27" t="s">
        <v>131</v>
      </c>
    </row>
    <row r="28" spans="1:1" x14ac:dyDescent="0.25">
      <c r="A28" t="s">
        <v>269</v>
      </c>
    </row>
    <row r="29" spans="1:1" x14ac:dyDescent="0.25">
      <c r="A29" t="s">
        <v>305</v>
      </c>
    </row>
    <row r="30" spans="1:1" x14ac:dyDescent="0.25">
      <c r="A30" t="s">
        <v>45</v>
      </c>
    </row>
    <row r="31" spans="1:1" x14ac:dyDescent="0.25">
      <c r="A31" t="s">
        <v>5</v>
      </c>
    </row>
    <row r="32" spans="1:1" x14ac:dyDescent="0.25">
      <c r="A32" t="s">
        <v>135</v>
      </c>
    </row>
    <row r="33" spans="1:1" x14ac:dyDescent="0.25">
      <c r="A33" t="s">
        <v>143</v>
      </c>
    </row>
    <row r="34" spans="1:1" x14ac:dyDescent="0.25">
      <c r="A34" t="s">
        <v>121</v>
      </c>
    </row>
    <row r="35" spans="1:1" x14ac:dyDescent="0.25">
      <c r="A35" t="s">
        <v>215</v>
      </c>
    </row>
    <row r="36" spans="1:1" x14ac:dyDescent="0.25">
      <c r="A36" t="s">
        <v>119</v>
      </c>
    </row>
    <row r="37" spans="1:1" x14ac:dyDescent="0.25">
      <c r="A37" t="s">
        <v>201</v>
      </c>
    </row>
    <row r="38" spans="1:1" x14ac:dyDescent="0.25">
      <c r="A38" t="s">
        <v>15</v>
      </c>
    </row>
    <row r="39" spans="1:1" x14ac:dyDescent="0.25">
      <c r="A39" t="s">
        <v>165</v>
      </c>
    </row>
    <row r="40" spans="1:1" x14ac:dyDescent="0.25">
      <c r="A40" t="s">
        <v>9</v>
      </c>
    </row>
    <row r="41" spans="1:1" x14ac:dyDescent="0.25">
      <c r="A41" t="s">
        <v>205</v>
      </c>
    </row>
    <row r="42" spans="1:1" x14ac:dyDescent="0.25">
      <c r="A42" t="s">
        <v>173</v>
      </c>
    </row>
    <row r="43" spans="1:1" x14ac:dyDescent="0.25">
      <c r="A43" t="s">
        <v>207</v>
      </c>
    </row>
    <row r="44" spans="1:1" x14ac:dyDescent="0.25">
      <c r="A44" t="s">
        <v>259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5"/>
  <sheetViews>
    <sheetView workbookViewId="0">
      <selection sqref="A1:A115"/>
    </sheetView>
  </sheetViews>
  <sheetFormatPr defaultRowHeight="15" x14ac:dyDescent="0.25"/>
  <sheetData>
    <row r="1" spans="1:1" x14ac:dyDescent="0.25">
      <c r="A1" t="s">
        <v>281</v>
      </c>
    </row>
    <row r="2" spans="1:1" x14ac:dyDescent="0.25">
      <c r="A2" t="s">
        <v>55</v>
      </c>
    </row>
    <row r="3" spans="1:1" x14ac:dyDescent="0.25">
      <c r="A3" t="s">
        <v>95</v>
      </c>
    </row>
    <row r="4" spans="1:1" x14ac:dyDescent="0.25">
      <c r="A4" t="s">
        <v>153</v>
      </c>
    </row>
    <row r="5" spans="1:1" x14ac:dyDescent="0.25">
      <c r="A5" t="s">
        <v>127</v>
      </c>
    </row>
    <row r="6" spans="1:1" x14ac:dyDescent="0.25">
      <c r="A6" t="s">
        <v>105</v>
      </c>
    </row>
    <row r="7" spans="1:1" x14ac:dyDescent="0.25">
      <c r="A7" t="s">
        <v>79</v>
      </c>
    </row>
    <row r="8" spans="1:1" x14ac:dyDescent="0.25">
      <c r="A8" t="s">
        <v>247</v>
      </c>
    </row>
    <row r="9" spans="1:1" x14ac:dyDescent="0.25">
      <c r="A9" t="s">
        <v>235</v>
      </c>
    </row>
    <row r="10" spans="1:1" x14ac:dyDescent="0.25">
      <c r="A10" t="s">
        <v>319</v>
      </c>
    </row>
    <row r="11" spans="1:1" x14ac:dyDescent="0.25">
      <c r="A11" t="s">
        <v>251</v>
      </c>
    </row>
    <row r="12" spans="1:1" x14ac:dyDescent="0.25">
      <c r="A12" t="s">
        <v>255</v>
      </c>
    </row>
    <row r="13" spans="1:1" x14ac:dyDescent="0.25">
      <c r="A13" t="s">
        <v>249</v>
      </c>
    </row>
    <row r="14" spans="1:1" x14ac:dyDescent="0.25">
      <c r="A14" t="s">
        <v>51</v>
      </c>
    </row>
    <row r="15" spans="1:1" x14ac:dyDescent="0.25">
      <c r="A15" t="s">
        <v>233</v>
      </c>
    </row>
    <row r="16" spans="1:1" x14ac:dyDescent="0.25">
      <c r="A16" t="s">
        <v>211</v>
      </c>
    </row>
    <row r="17" spans="1:1" x14ac:dyDescent="0.25">
      <c r="A17" t="s">
        <v>241</v>
      </c>
    </row>
    <row r="18" spans="1:1" x14ac:dyDescent="0.25">
      <c r="A18" t="s">
        <v>111</v>
      </c>
    </row>
    <row r="19" spans="1:1" x14ac:dyDescent="0.25">
      <c r="A19" t="s">
        <v>67</v>
      </c>
    </row>
    <row r="20" spans="1:1" x14ac:dyDescent="0.25">
      <c r="A20" t="s">
        <v>239</v>
      </c>
    </row>
    <row r="21" spans="1:1" x14ac:dyDescent="0.25">
      <c r="A21" t="s">
        <v>271</v>
      </c>
    </row>
    <row r="22" spans="1:1" x14ac:dyDescent="0.25">
      <c r="A22" t="s">
        <v>223</v>
      </c>
    </row>
    <row r="23" spans="1:1" x14ac:dyDescent="0.25">
      <c r="A23" t="s">
        <v>39</v>
      </c>
    </row>
    <row r="24" spans="1:1" x14ac:dyDescent="0.25">
      <c r="A24" t="s">
        <v>71</v>
      </c>
    </row>
    <row r="25" spans="1:1" x14ac:dyDescent="0.25">
      <c r="A25" t="s">
        <v>11</v>
      </c>
    </row>
    <row r="26" spans="1:1" x14ac:dyDescent="0.25">
      <c r="A26" t="s">
        <v>47</v>
      </c>
    </row>
    <row r="27" spans="1:1" x14ac:dyDescent="0.25">
      <c r="A27" t="s">
        <v>243</v>
      </c>
    </row>
    <row r="28" spans="1:1" x14ac:dyDescent="0.25">
      <c r="A28" t="s">
        <v>245</v>
      </c>
    </row>
    <row r="29" spans="1:1" x14ac:dyDescent="0.25">
      <c r="A29" t="s">
        <v>73</v>
      </c>
    </row>
    <row r="30" spans="1:1" x14ac:dyDescent="0.25">
      <c r="A30" t="s">
        <v>221</v>
      </c>
    </row>
    <row r="31" spans="1:1" x14ac:dyDescent="0.25">
      <c r="A31" t="s">
        <v>229</v>
      </c>
    </row>
    <row r="32" spans="1:1" x14ac:dyDescent="0.25">
      <c r="A32" t="s">
        <v>21</v>
      </c>
    </row>
    <row r="33" spans="1:1" x14ac:dyDescent="0.25">
      <c r="A33" t="s">
        <v>31</v>
      </c>
    </row>
    <row r="34" spans="1:1" x14ac:dyDescent="0.25">
      <c r="A34" t="s">
        <v>217</v>
      </c>
    </row>
    <row r="35" spans="1:1" x14ac:dyDescent="0.25">
      <c r="A35" t="s">
        <v>285</v>
      </c>
    </row>
    <row r="36" spans="1:1" x14ac:dyDescent="0.25">
      <c r="A36" t="s">
        <v>33</v>
      </c>
    </row>
    <row r="37" spans="1:1" x14ac:dyDescent="0.25">
      <c r="A37" t="s">
        <v>197</v>
      </c>
    </row>
    <row r="38" spans="1:1" x14ac:dyDescent="0.25">
      <c r="A38" t="s">
        <v>203</v>
      </c>
    </row>
    <row r="39" spans="1:1" x14ac:dyDescent="0.25">
      <c r="A39" t="s">
        <v>129</v>
      </c>
    </row>
    <row r="40" spans="1:1" x14ac:dyDescent="0.25">
      <c r="A40" t="s">
        <v>7</v>
      </c>
    </row>
    <row r="41" spans="1:1" x14ac:dyDescent="0.25">
      <c r="A41" t="s">
        <v>115</v>
      </c>
    </row>
    <row r="42" spans="1:1" x14ac:dyDescent="0.25">
      <c r="A42" t="s">
        <v>253</v>
      </c>
    </row>
    <row r="43" spans="1:1" x14ac:dyDescent="0.25">
      <c r="A43" t="s">
        <v>209</v>
      </c>
    </row>
    <row r="44" spans="1:1" x14ac:dyDescent="0.25">
      <c r="A44" t="s">
        <v>17</v>
      </c>
    </row>
    <row r="45" spans="1:1" x14ac:dyDescent="0.25">
      <c r="A45" t="s">
        <v>289</v>
      </c>
    </row>
    <row r="46" spans="1:1" x14ac:dyDescent="0.25">
      <c r="A46" t="s">
        <v>171</v>
      </c>
    </row>
    <row r="47" spans="1:1" x14ac:dyDescent="0.25">
      <c r="A47" t="s">
        <v>43</v>
      </c>
    </row>
    <row r="48" spans="1:1" x14ac:dyDescent="0.25">
      <c r="A48" t="s">
        <v>75</v>
      </c>
    </row>
    <row r="49" spans="1:1" x14ac:dyDescent="0.25">
      <c r="A49" t="s">
        <v>89</v>
      </c>
    </row>
    <row r="50" spans="1:1" x14ac:dyDescent="0.25">
      <c r="A50" t="s">
        <v>19</v>
      </c>
    </row>
    <row r="51" spans="1:1" x14ac:dyDescent="0.25">
      <c r="A51" t="s">
        <v>117</v>
      </c>
    </row>
    <row r="52" spans="1:1" x14ac:dyDescent="0.25">
      <c r="A52" t="s">
        <v>25</v>
      </c>
    </row>
    <row r="53" spans="1:1" x14ac:dyDescent="0.25">
      <c r="A53" t="s">
        <v>23</v>
      </c>
    </row>
    <row r="54" spans="1:1" x14ac:dyDescent="0.25">
      <c r="A54" t="s">
        <v>175</v>
      </c>
    </row>
    <row r="55" spans="1:1" x14ac:dyDescent="0.25">
      <c r="A55" t="s">
        <v>311</v>
      </c>
    </row>
    <row r="56" spans="1:1" x14ac:dyDescent="0.25">
      <c r="A56" t="s">
        <v>267</v>
      </c>
    </row>
    <row r="57" spans="1:1" x14ac:dyDescent="0.25">
      <c r="A57" t="s">
        <v>157</v>
      </c>
    </row>
    <row r="58" spans="1:1" x14ac:dyDescent="0.25">
      <c r="A58" t="s">
        <v>123</v>
      </c>
    </row>
    <row r="59" spans="1:1" x14ac:dyDescent="0.25">
      <c r="A59" t="s">
        <v>295</v>
      </c>
    </row>
    <row r="60" spans="1:1" x14ac:dyDescent="0.25">
      <c r="A60" t="s">
        <v>91</v>
      </c>
    </row>
    <row r="61" spans="1:1" x14ac:dyDescent="0.25">
      <c r="A61" t="s">
        <v>315</v>
      </c>
    </row>
    <row r="62" spans="1:1" x14ac:dyDescent="0.25">
      <c r="A62" t="s">
        <v>309</v>
      </c>
    </row>
    <row r="63" spans="1:1" x14ac:dyDescent="0.25">
      <c r="A63" t="s">
        <v>149</v>
      </c>
    </row>
    <row r="64" spans="1:1" x14ac:dyDescent="0.25">
      <c r="A64" t="s">
        <v>161</v>
      </c>
    </row>
    <row r="65" spans="1:1" x14ac:dyDescent="0.25">
      <c r="A65" t="s">
        <v>287</v>
      </c>
    </row>
    <row r="66" spans="1:1" x14ac:dyDescent="0.25">
      <c r="A66" t="s">
        <v>307</v>
      </c>
    </row>
    <row r="67" spans="1:1" x14ac:dyDescent="0.25">
      <c r="A67" t="s">
        <v>87</v>
      </c>
    </row>
    <row r="68" spans="1:1" x14ac:dyDescent="0.25">
      <c r="A68" t="s">
        <v>151</v>
      </c>
    </row>
    <row r="69" spans="1:1" x14ac:dyDescent="0.25">
      <c r="A69" t="s">
        <v>141</v>
      </c>
    </row>
    <row r="70" spans="1:1" x14ac:dyDescent="0.25">
      <c r="A70" t="s">
        <v>155</v>
      </c>
    </row>
    <row r="71" spans="1:1" x14ac:dyDescent="0.25">
      <c r="A71" t="s">
        <v>113</v>
      </c>
    </row>
    <row r="72" spans="1:1" x14ac:dyDescent="0.25">
      <c r="A72" t="s">
        <v>265</v>
      </c>
    </row>
    <row r="73" spans="1:1" x14ac:dyDescent="0.25">
      <c r="A73" t="s">
        <v>107</v>
      </c>
    </row>
    <row r="74" spans="1:1" x14ac:dyDescent="0.25">
      <c r="A74" t="s">
        <v>213</v>
      </c>
    </row>
    <row r="75" spans="1:1" x14ac:dyDescent="0.25">
      <c r="A75" t="s">
        <v>125</v>
      </c>
    </row>
    <row r="76" spans="1:1" x14ac:dyDescent="0.25">
      <c r="A76" t="s">
        <v>299</v>
      </c>
    </row>
    <row r="77" spans="1:1" x14ac:dyDescent="0.25">
      <c r="A77" t="s">
        <v>97</v>
      </c>
    </row>
    <row r="78" spans="1:1" x14ac:dyDescent="0.25">
      <c r="A78" t="s">
        <v>69</v>
      </c>
    </row>
    <row r="79" spans="1:1" x14ac:dyDescent="0.25">
      <c r="A79" t="s">
        <v>189</v>
      </c>
    </row>
    <row r="80" spans="1:1" x14ac:dyDescent="0.25">
      <c r="A80" t="s">
        <v>99</v>
      </c>
    </row>
    <row r="81" spans="1:1" x14ac:dyDescent="0.25">
      <c r="A81" t="s">
        <v>147</v>
      </c>
    </row>
    <row r="82" spans="1:1" x14ac:dyDescent="0.25">
      <c r="A82" t="s">
        <v>199</v>
      </c>
    </row>
    <row r="83" spans="1:1" x14ac:dyDescent="0.25">
      <c r="A83" t="s">
        <v>59</v>
      </c>
    </row>
    <row r="84" spans="1:1" x14ac:dyDescent="0.25">
      <c r="A84" t="s">
        <v>101</v>
      </c>
    </row>
    <row r="85" spans="1:1" x14ac:dyDescent="0.25">
      <c r="A85" t="s">
        <v>313</v>
      </c>
    </row>
    <row r="86" spans="1:1" x14ac:dyDescent="0.25">
      <c r="A86" t="s">
        <v>85</v>
      </c>
    </row>
    <row r="87" spans="1:1" x14ac:dyDescent="0.25">
      <c r="A87" t="s">
        <v>181</v>
      </c>
    </row>
    <row r="88" spans="1:1" x14ac:dyDescent="0.25">
      <c r="A88" t="s">
        <v>63</v>
      </c>
    </row>
    <row r="89" spans="1:1" x14ac:dyDescent="0.25">
      <c r="A89" t="s">
        <v>27</v>
      </c>
    </row>
    <row r="90" spans="1:1" x14ac:dyDescent="0.25">
      <c r="A90" t="s">
        <v>139</v>
      </c>
    </row>
    <row r="91" spans="1:1" x14ac:dyDescent="0.25">
      <c r="A91" t="s">
        <v>263</v>
      </c>
    </row>
    <row r="92" spans="1:1" x14ac:dyDescent="0.25">
      <c r="A92" t="s">
        <v>41</v>
      </c>
    </row>
    <row r="93" spans="1:1" x14ac:dyDescent="0.25">
      <c r="A93" t="s">
        <v>301</v>
      </c>
    </row>
    <row r="94" spans="1:1" x14ac:dyDescent="0.25">
      <c r="A94" t="s">
        <v>35</v>
      </c>
    </row>
    <row r="95" spans="1:1" x14ac:dyDescent="0.25">
      <c r="A95" t="s">
        <v>167</v>
      </c>
    </row>
    <row r="96" spans="1:1" x14ac:dyDescent="0.25">
      <c r="A96" t="s">
        <v>291</v>
      </c>
    </row>
    <row r="97" spans="1:1" x14ac:dyDescent="0.25">
      <c r="A97" t="s">
        <v>103</v>
      </c>
    </row>
    <row r="98" spans="1:1" x14ac:dyDescent="0.25">
      <c r="A98" t="s">
        <v>53</v>
      </c>
    </row>
    <row r="99" spans="1:1" x14ac:dyDescent="0.25">
      <c r="A99" t="s">
        <v>159</v>
      </c>
    </row>
    <row r="100" spans="1:1" x14ac:dyDescent="0.25">
      <c r="A100" t="s">
        <v>109</v>
      </c>
    </row>
    <row r="101" spans="1:1" x14ac:dyDescent="0.25">
      <c r="A101" t="s">
        <v>29</v>
      </c>
    </row>
    <row r="102" spans="1:1" x14ac:dyDescent="0.25">
      <c r="A102" t="s">
        <v>163</v>
      </c>
    </row>
    <row r="103" spans="1:1" x14ac:dyDescent="0.25">
      <c r="A103" t="s">
        <v>193</v>
      </c>
    </row>
    <row r="104" spans="1:1" x14ac:dyDescent="0.25">
      <c r="A104" t="s">
        <v>195</v>
      </c>
    </row>
    <row r="105" spans="1:1" x14ac:dyDescent="0.25">
      <c r="A105" t="s">
        <v>185</v>
      </c>
    </row>
    <row r="106" spans="1:1" x14ac:dyDescent="0.25">
      <c r="A106" t="s">
        <v>179</v>
      </c>
    </row>
    <row r="107" spans="1:1" x14ac:dyDescent="0.25">
      <c r="A107" t="s">
        <v>37</v>
      </c>
    </row>
    <row r="108" spans="1:1" x14ac:dyDescent="0.25">
      <c r="A108" t="s">
        <v>297</v>
      </c>
    </row>
    <row r="109" spans="1:1" x14ac:dyDescent="0.25">
      <c r="A109" t="s">
        <v>187</v>
      </c>
    </row>
    <row r="110" spans="1:1" x14ac:dyDescent="0.25">
      <c r="A110" t="s">
        <v>279</v>
      </c>
    </row>
    <row r="111" spans="1:1" x14ac:dyDescent="0.25">
      <c r="A111" t="s">
        <v>177</v>
      </c>
    </row>
    <row r="112" spans="1:1" x14ac:dyDescent="0.25">
      <c r="A112" t="s">
        <v>191</v>
      </c>
    </row>
    <row r="113" spans="1:1" x14ac:dyDescent="0.25">
      <c r="A113" t="s">
        <v>13</v>
      </c>
    </row>
    <row r="114" spans="1:1" x14ac:dyDescent="0.25">
      <c r="A114" t="s">
        <v>133</v>
      </c>
    </row>
    <row r="115" spans="1:1" x14ac:dyDescent="0.25">
      <c r="A115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117"/>
  <sheetViews>
    <sheetView workbookViewId="0">
      <selection activeCell="C3" sqref="C3:C117"/>
    </sheetView>
  </sheetViews>
  <sheetFormatPr defaultRowHeight="15" x14ac:dyDescent="0.25"/>
  <cols>
    <col min="1" max="6" width="9.140625" style="19"/>
    <col min="7" max="8" width="0" style="19" hidden="1" customWidth="1"/>
    <col min="9" max="16384" width="9.140625" style="19"/>
  </cols>
  <sheetData>
    <row r="1" spans="1:4" x14ac:dyDescent="0.25">
      <c r="A1" s="19" t="s">
        <v>364</v>
      </c>
      <c r="B1" s="19" t="s">
        <v>365</v>
      </c>
      <c r="C1" s="19" t="s">
        <v>366</v>
      </c>
      <c r="D1" s="19" t="s">
        <v>367</v>
      </c>
    </row>
    <row r="2" spans="1:4" x14ac:dyDescent="0.25">
      <c r="A2" s="19" t="s">
        <v>368</v>
      </c>
      <c r="B2" s="19" t="s">
        <v>369</v>
      </c>
      <c r="C2" s="19" t="s">
        <v>370</v>
      </c>
      <c r="D2" s="19" t="s">
        <v>371</v>
      </c>
    </row>
    <row r="3" spans="1:4" x14ac:dyDescent="0.25">
      <c r="A3" s="19">
        <v>1</v>
      </c>
      <c r="B3" t="s">
        <v>281</v>
      </c>
      <c r="C3">
        <v>3.71</v>
      </c>
      <c r="D3" s="19">
        <v>1</v>
      </c>
    </row>
    <row r="4" spans="1:4" x14ac:dyDescent="0.25">
      <c r="A4" s="19">
        <v>2</v>
      </c>
      <c r="B4" t="s">
        <v>55</v>
      </c>
      <c r="C4">
        <v>3.83</v>
      </c>
      <c r="D4" s="19">
        <v>1</v>
      </c>
    </row>
    <row r="5" spans="1:4" x14ac:dyDescent="0.25">
      <c r="A5" s="19">
        <v>3</v>
      </c>
      <c r="B5" t="s">
        <v>95</v>
      </c>
      <c r="C5">
        <v>4.38</v>
      </c>
      <c r="D5" s="19">
        <v>1</v>
      </c>
    </row>
    <row r="6" spans="1:4" x14ac:dyDescent="0.25">
      <c r="A6" s="19">
        <v>4</v>
      </c>
      <c r="B6" t="s">
        <v>153</v>
      </c>
      <c r="C6">
        <v>4.38</v>
      </c>
      <c r="D6" s="19">
        <v>1</v>
      </c>
    </row>
    <row r="7" spans="1:4" x14ac:dyDescent="0.25">
      <c r="A7" s="19">
        <v>5</v>
      </c>
      <c r="B7" t="s">
        <v>127</v>
      </c>
      <c r="C7">
        <v>4.5</v>
      </c>
      <c r="D7" s="19">
        <v>1</v>
      </c>
    </row>
    <row r="8" spans="1:4" x14ac:dyDescent="0.25">
      <c r="A8" s="19">
        <v>6</v>
      </c>
      <c r="B8" t="s">
        <v>105</v>
      </c>
      <c r="C8">
        <v>4.71</v>
      </c>
      <c r="D8" s="19">
        <v>1</v>
      </c>
    </row>
    <row r="9" spans="1:4" x14ac:dyDescent="0.25">
      <c r="A9" s="19">
        <v>7</v>
      </c>
      <c r="B9" t="s">
        <v>79</v>
      </c>
      <c r="C9">
        <v>4.8600000000000003</v>
      </c>
      <c r="D9" s="19">
        <v>1</v>
      </c>
    </row>
    <row r="10" spans="1:4" x14ac:dyDescent="0.25">
      <c r="A10" s="19">
        <v>8</v>
      </c>
      <c r="B10" t="s">
        <v>247</v>
      </c>
      <c r="C10">
        <v>4.93</v>
      </c>
      <c r="D10" s="19">
        <v>1</v>
      </c>
    </row>
    <row r="11" spans="1:4" x14ac:dyDescent="0.25">
      <c r="A11" s="19">
        <v>9</v>
      </c>
      <c r="B11" t="s">
        <v>235</v>
      </c>
      <c r="C11">
        <v>5.03</v>
      </c>
      <c r="D11" s="19">
        <v>1</v>
      </c>
    </row>
    <row r="12" spans="1:4" x14ac:dyDescent="0.25">
      <c r="A12" s="19">
        <v>10</v>
      </c>
      <c r="B12" t="s">
        <v>319</v>
      </c>
      <c r="C12">
        <v>5.03</v>
      </c>
      <c r="D12" s="19">
        <v>1</v>
      </c>
    </row>
    <row r="13" spans="1:4" x14ac:dyDescent="0.25">
      <c r="A13" s="19">
        <v>11</v>
      </c>
      <c r="B13" t="s">
        <v>251</v>
      </c>
      <c r="C13">
        <v>5.09</v>
      </c>
      <c r="D13" s="19">
        <v>1</v>
      </c>
    </row>
    <row r="14" spans="1:4" x14ac:dyDescent="0.25">
      <c r="A14" s="19">
        <v>12</v>
      </c>
      <c r="B14" t="s">
        <v>255</v>
      </c>
      <c r="C14">
        <v>5.16</v>
      </c>
      <c r="D14" s="19">
        <v>1</v>
      </c>
    </row>
    <row r="15" spans="1:4" x14ac:dyDescent="0.25">
      <c r="A15" s="19">
        <v>13</v>
      </c>
      <c r="B15" t="s">
        <v>249</v>
      </c>
      <c r="C15">
        <v>5.22</v>
      </c>
      <c r="D15" s="19">
        <v>1</v>
      </c>
    </row>
    <row r="16" spans="1:4" x14ac:dyDescent="0.25">
      <c r="A16" s="19">
        <v>14</v>
      </c>
      <c r="B16" t="s">
        <v>51</v>
      </c>
      <c r="C16">
        <v>5.29</v>
      </c>
      <c r="D16" s="19">
        <v>1</v>
      </c>
    </row>
    <row r="17" spans="1:4" x14ac:dyDescent="0.25">
      <c r="A17" s="19">
        <v>15</v>
      </c>
      <c r="B17" t="s">
        <v>233</v>
      </c>
      <c r="C17">
        <v>5.41</v>
      </c>
      <c r="D17" s="19">
        <v>1</v>
      </c>
    </row>
    <row r="18" spans="1:4" x14ac:dyDescent="0.25">
      <c r="A18" s="19">
        <v>16</v>
      </c>
      <c r="B18" t="s">
        <v>211</v>
      </c>
      <c r="C18">
        <v>5.59</v>
      </c>
      <c r="D18" s="19">
        <v>1</v>
      </c>
    </row>
    <row r="19" spans="1:4" x14ac:dyDescent="0.25">
      <c r="A19" s="19">
        <v>17</v>
      </c>
      <c r="B19" t="s">
        <v>241</v>
      </c>
      <c r="C19">
        <v>5.61</v>
      </c>
      <c r="D19" s="19">
        <v>1</v>
      </c>
    </row>
    <row r="20" spans="1:4" x14ac:dyDescent="0.25">
      <c r="A20" s="19">
        <v>18</v>
      </c>
      <c r="B20" t="s">
        <v>111</v>
      </c>
      <c r="C20">
        <v>5.71</v>
      </c>
      <c r="D20" s="19">
        <v>1</v>
      </c>
    </row>
    <row r="21" spans="1:4" x14ac:dyDescent="0.25">
      <c r="A21" s="19">
        <v>19</v>
      </c>
      <c r="B21" t="s">
        <v>67</v>
      </c>
      <c r="C21">
        <v>5.74</v>
      </c>
      <c r="D21" s="19">
        <v>1</v>
      </c>
    </row>
    <row r="22" spans="1:4" x14ac:dyDescent="0.25">
      <c r="A22" s="19">
        <v>20</v>
      </c>
      <c r="B22" t="s">
        <v>239</v>
      </c>
      <c r="C22">
        <v>5.8</v>
      </c>
      <c r="D22" s="19">
        <v>1</v>
      </c>
    </row>
    <row r="23" spans="1:4" x14ac:dyDescent="0.25">
      <c r="A23" s="19">
        <v>21</v>
      </c>
      <c r="B23" t="s">
        <v>271</v>
      </c>
      <c r="C23">
        <v>5.85</v>
      </c>
      <c r="D23" s="19">
        <v>1</v>
      </c>
    </row>
    <row r="24" spans="1:4" x14ac:dyDescent="0.25">
      <c r="A24" s="19">
        <v>22</v>
      </c>
      <c r="B24" t="s">
        <v>223</v>
      </c>
      <c r="C24">
        <v>5.9</v>
      </c>
      <c r="D24" s="19">
        <v>1</v>
      </c>
    </row>
    <row r="25" spans="1:4" x14ac:dyDescent="0.25">
      <c r="A25" s="19">
        <v>23</v>
      </c>
      <c r="B25" t="s">
        <v>39</v>
      </c>
      <c r="C25">
        <v>5.91</v>
      </c>
      <c r="D25" s="19">
        <v>1</v>
      </c>
    </row>
    <row r="26" spans="1:4" x14ac:dyDescent="0.25">
      <c r="A26" s="19">
        <v>24</v>
      </c>
      <c r="B26" t="s">
        <v>71</v>
      </c>
      <c r="C26">
        <v>5.91</v>
      </c>
      <c r="D26" s="19">
        <v>1</v>
      </c>
    </row>
    <row r="27" spans="1:4" x14ac:dyDescent="0.25">
      <c r="A27" s="19">
        <v>25</v>
      </c>
      <c r="B27" t="s">
        <v>11</v>
      </c>
      <c r="C27">
        <v>5.94</v>
      </c>
      <c r="D27" s="19">
        <v>1</v>
      </c>
    </row>
    <row r="28" spans="1:4" x14ac:dyDescent="0.25">
      <c r="A28" s="19">
        <v>26</v>
      </c>
      <c r="B28" t="s">
        <v>47</v>
      </c>
      <c r="C28">
        <v>6</v>
      </c>
      <c r="D28" s="19">
        <v>1</v>
      </c>
    </row>
    <row r="29" spans="1:4" x14ac:dyDescent="0.25">
      <c r="A29" s="19">
        <v>27</v>
      </c>
      <c r="B29" t="s">
        <v>243</v>
      </c>
      <c r="C29">
        <v>6.02</v>
      </c>
      <c r="D29" s="19">
        <v>1</v>
      </c>
    </row>
    <row r="30" spans="1:4" x14ac:dyDescent="0.25">
      <c r="A30" s="19">
        <v>28</v>
      </c>
      <c r="B30" t="s">
        <v>245</v>
      </c>
      <c r="C30">
        <v>6.02</v>
      </c>
      <c r="D30" s="19">
        <v>1</v>
      </c>
    </row>
    <row r="31" spans="1:4" x14ac:dyDescent="0.25">
      <c r="A31" s="19">
        <v>29</v>
      </c>
      <c r="B31" t="s">
        <v>73</v>
      </c>
      <c r="C31">
        <v>6.04</v>
      </c>
      <c r="D31" s="19">
        <v>1</v>
      </c>
    </row>
    <row r="32" spans="1:4" x14ac:dyDescent="0.25">
      <c r="A32" s="19">
        <v>30</v>
      </c>
      <c r="B32" t="s">
        <v>221</v>
      </c>
      <c r="C32">
        <v>6.06</v>
      </c>
      <c r="D32" s="19">
        <v>1</v>
      </c>
    </row>
    <row r="33" spans="1:4" x14ac:dyDescent="0.25">
      <c r="A33" s="19">
        <v>31</v>
      </c>
      <c r="B33" t="s">
        <v>229</v>
      </c>
      <c r="C33">
        <v>6.07</v>
      </c>
      <c r="D33" s="19">
        <v>1</v>
      </c>
    </row>
    <row r="34" spans="1:4" x14ac:dyDescent="0.25">
      <c r="A34" s="19">
        <v>32</v>
      </c>
      <c r="B34" t="s">
        <v>21</v>
      </c>
      <c r="C34">
        <v>6.11</v>
      </c>
      <c r="D34" s="19">
        <v>1</v>
      </c>
    </row>
    <row r="35" spans="1:4" x14ac:dyDescent="0.25">
      <c r="A35" s="19">
        <v>33</v>
      </c>
      <c r="B35" t="s">
        <v>31</v>
      </c>
      <c r="C35">
        <v>6.14</v>
      </c>
      <c r="D35" s="19">
        <v>1</v>
      </c>
    </row>
    <row r="36" spans="1:4" x14ac:dyDescent="0.25">
      <c r="A36" s="19">
        <v>34</v>
      </c>
      <c r="B36" t="s">
        <v>217</v>
      </c>
      <c r="C36">
        <v>6.17</v>
      </c>
      <c r="D36" s="19">
        <v>1</v>
      </c>
    </row>
    <row r="37" spans="1:4" x14ac:dyDescent="0.25">
      <c r="A37" s="19">
        <v>35</v>
      </c>
      <c r="B37" t="s">
        <v>285</v>
      </c>
      <c r="C37">
        <v>6.18</v>
      </c>
      <c r="D37" s="19">
        <v>1</v>
      </c>
    </row>
    <row r="38" spans="1:4" x14ac:dyDescent="0.25">
      <c r="A38" s="19">
        <v>36</v>
      </c>
      <c r="B38" t="s">
        <v>33</v>
      </c>
      <c r="C38">
        <v>6.24</v>
      </c>
      <c r="D38" s="19">
        <v>1</v>
      </c>
    </row>
    <row r="39" spans="1:4" x14ac:dyDescent="0.25">
      <c r="A39" s="19">
        <v>37</v>
      </c>
      <c r="B39" t="s">
        <v>197</v>
      </c>
      <c r="C39">
        <v>6.24</v>
      </c>
      <c r="D39" s="19">
        <v>1</v>
      </c>
    </row>
    <row r="40" spans="1:4" x14ac:dyDescent="0.25">
      <c r="A40" s="19">
        <v>38</v>
      </c>
      <c r="B40" t="s">
        <v>203</v>
      </c>
      <c r="C40">
        <v>6.3</v>
      </c>
      <c r="D40" s="19">
        <v>1</v>
      </c>
    </row>
    <row r="41" spans="1:4" x14ac:dyDescent="0.25">
      <c r="A41" s="19">
        <v>39</v>
      </c>
      <c r="B41" t="s">
        <v>129</v>
      </c>
      <c r="C41">
        <v>6.36</v>
      </c>
      <c r="D41" s="19">
        <v>1</v>
      </c>
    </row>
    <row r="42" spans="1:4" x14ac:dyDescent="0.25">
      <c r="A42" s="19">
        <v>40</v>
      </c>
      <c r="B42" t="s">
        <v>7</v>
      </c>
      <c r="C42">
        <v>6.43</v>
      </c>
      <c r="D42" s="19">
        <v>1</v>
      </c>
    </row>
    <row r="43" spans="1:4" x14ac:dyDescent="0.25">
      <c r="A43" s="19">
        <v>41</v>
      </c>
      <c r="B43" t="s">
        <v>115</v>
      </c>
      <c r="C43">
        <v>6.43</v>
      </c>
      <c r="D43" s="19">
        <v>1</v>
      </c>
    </row>
    <row r="44" spans="1:4" x14ac:dyDescent="0.25">
      <c r="A44" s="19">
        <v>42</v>
      </c>
      <c r="B44" t="s">
        <v>253</v>
      </c>
      <c r="C44">
        <v>6.46</v>
      </c>
      <c r="D44" s="19">
        <v>1</v>
      </c>
    </row>
    <row r="45" spans="1:4" x14ac:dyDescent="0.25">
      <c r="A45" s="19">
        <v>43</v>
      </c>
      <c r="B45" t="s">
        <v>209</v>
      </c>
      <c r="C45">
        <v>6.47</v>
      </c>
      <c r="D45" s="19">
        <v>1</v>
      </c>
    </row>
    <row r="46" spans="1:4" x14ac:dyDescent="0.25">
      <c r="A46" s="19">
        <v>44</v>
      </c>
      <c r="B46" t="s">
        <v>17</v>
      </c>
      <c r="C46">
        <v>6.52</v>
      </c>
      <c r="D46" s="19">
        <v>1</v>
      </c>
    </row>
    <row r="47" spans="1:4" x14ac:dyDescent="0.25">
      <c r="A47" s="19">
        <v>45</v>
      </c>
      <c r="B47" t="s">
        <v>289</v>
      </c>
      <c r="C47">
        <v>6.52</v>
      </c>
      <c r="D47" s="19">
        <v>1</v>
      </c>
    </row>
    <row r="48" spans="1:4" x14ac:dyDescent="0.25">
      <c r="A48" s="19">
        <v>46</v>
      </c>
      <c r="B48" t="s">
        <v>171</v>
      </c>
      <c r="C48">
        <v>6.55</v>
      </c>
      <c r="D48" s="19">
        <v>1</v>
      </c>
    </row>
    <row r="49" spans="1:4" x14ac:dyDescent="0.25">
      <c r="A49" s="19">
        <v>47</v>
      </c>
      <c r="B49" t="s">
        <v>43</v>
      </c>
      <c r="C49">
        <v>6.62</v>
      </c>
      <c r="D49" s="19">
        <v>1</v>
      </c>
    </row>
    <row r="50" spans="1:4" x14ac:dyDescent="0.25">
      <c r="A50" s="19">
        <v>48</v>
      </c>
      <c r="B50" t="s">
        <v>75</v>
      </c>
      <c r="C50">
        <v>6.63</v>
      </c>
      <c r="D50" s="19">
        <v>1</v>
      </c>
    </row>
    <row r="51" spans="1:4" x14ac:dyDescent="0.25">
      <c r="A51" s="19">
        <v>49</v>
      </c>
      <c r="B51" t="s">
        <v>89</v>
      </c>
      <c r="C51">
        <v>6.71</v>
      </c>
      <c r="D51" s="19">
        <v>1</v>
      </c>
    </row>
    <row r="52" spans="1:4" x14ac:dyDescent="0.25">
      <c r="A52" s="19">
        <v>50</v>
      </c>
      <c r="B52" t="s">
        <v>19</v>
      </c>
      <c r="C52">
        <v>6.74</v>
      </c>
      <c r="D52" s="19">
        <v>1</v>
      </c>
    </row>
    <row r="53" spans="1:4" x14ac:dyDescent="0.25">
      <c r="A53" s="19">
        <v>51</v>
      </c>
      <c r="B53" t="s">
        <v>117</v>
      </c>
      <c r="C53">
        <v>6.74</v>
      </c>
      <c r="D53" s="19">
        <v>1</v>
      </c>
    </row>
    <row r="54" spans="1:4" x14ac:dyDescent="0.25">
      <c r="A54" s="19">
        <v>52</v>
      </c>
      <c r="B54" t="s">
        <v>25</v>
      </c>
      <c r="C54">
        <v>6.78</v>
      </c>
      <c r="D54" s="19">
        <v>1</v>
      </c>
    </row>
    <row r="55" spans="1:4" x14ac:dyDescent="0.25">
      <c r="A55" s="19">
        <v>53</v>
      </c>
      <c r="B55" t="s">
        <v>23</v>
      </c>
      <c r="C55">
        <v>6.81</v>
      </c>
      <c r="D55" s="19">
        <v>1</v>
      </c>
    </row>
    <row r="56" spans="1:4" x14ac:dyDescent="0.25">
      <c r="A56" s="19">
        <v>54</v>
      </c>
      <c r="B56" t="s">
        <v>175</v>
      </c>
      <c r="C56">
        <v>6.81</v>
      </c>
      <c r="D56" s="19">
        <v>1</v>
      </c>
    </row>
    <row r="57" spans="1:4" x14ac:dyDescent="0.25">
      <c r="A57" s="19">
        <v>55</v>
      </c>
      <c r="B57" t="s">
        <v>311</v>
      </c>
      <c r="C57">
        <v>6.82</v>
      </c>
      <c r="D57" s="19">
        <v>1</v>
      </c>
    </row>
    <row r="58" spans="1:4" x14ac:dyDescent="0.25">
      <c r="A58" s="19">
        <v>56</v>
      </c>
      <c r="B58" t="s">
        <v>267</v>
      </c>
      <c r="C58">
        <v>6.87</v>
      </c>
      <c r="D58" s="19">
        <v>1</v>
      </c>
    </row>
    <row r="59" spans="1:4" x14ac:dyDescent="0.25">
      <c r="A59" s="19">
        <v>57</v>
      </c>
      <c r="B59" t="s">
        <v>157</v>
      </c>
      <c r="C59">
        <v>6.92</v>
      </c>
      <c r="D59" s="19">
        <v>1</v>
      </c>
    </row>
    <row r="60" spans="1:4" x14ac:dyDescent="0.25">
      <c r="A60" s="19">
        <v>58</v>
      </c>
      <c r="B60" t="s">
        <v>123</v>
      </c>
      <c r="C60">
        <v>6.96</v>
      </c>
      <c r="D60" s="19">
        <v>1</v>
      </c>
    </row>
    <row r="61" spans="1:4" x14ac:dyDescent="0.25">
      <c r="A61" s="19">
        <v>59</v>
      </c>
      <c r="B61" t="s">
        <v>295</v>
      </c>
      <c r="C61">
        <v>7.05</v>
      </c>
      <c r="D61" s="19">
        <v>1</v>
      </c>
    </row>
    <row r="62" spans="1:4" x14ac:dyDescent="0.25">
      <c r="A62" s="19">
        <v>60</v>
      </c>
      <c r="B62" t="s">
        <v>91</v>
      </c>
      <c r="C62">
        <v>7.08</v>
      </c>
      <c r="D62" s="19">
        <v>1</v>
      </c>
    </row>
    <row r="63" spans="1:4" x14ac:dyDescent="0.25">
      <c r="A63" s="19">
        <v>61</v>
      </c>
      <c r="B63" t="s">
        <v>315</v>
      </c>
      <c r="C63">
        <v>7.12</v>
      </c>
      <c r="D63" s="19">
        <v>1</v>
      </c>
    </row>
    <row r="64" spans="1:4" x14ac:dyDescent="0.25">
      <c r="A64" s="19">
        <v>62</v>
      </c>
      <c r="B64" t="s">
        <v>309</v>
      </c>
      <c r="C64">
        <v>7.39</v>
      </c>
      <c r="D64" s="19">
        <v>1</v>
      </c>
    </row>
    <row r="65" spans="1:4" x14ac:dyDescent="0.25">
      <c r="A65" s="19">
        <v>63</v>
      </c>
      <c r="B65" t="s">
        <v>149</v>
      </c>
      <c r="C65">
        <v>7.41</v>
      </c>
      <c r="D65" s="19">
        <v>1</v>
      </c>
    </row>
    <row r="66" spans="1:4" x14ac:dyDescent="0.25">
      <c r="A66" s="19">
        <v>64</v>
      </c>
      <c r="B66" t="s">
        <v>161</v>
      </c>
      <c r="C66">
        <v>7.42</v>
      </c>
      <c r="D66" s="19">
        <v>1</v>
      </c>
    </row>
    <row r="67" spans="1:4" x14ac:dyDescent="0.25">
      <c r="A67" s="19">
        <v>65</v>
      </c>
      <c r="B67" t="s">
        <v>287</v>
      </c>
      <c r="C67">
        <v>7.49</v>
      </c>
      <c r="D67" s="19">
        <v>1</v>
      </c>
    </row>
    <row r="68" spans="1:4" x14ac:dyDescent="0.25">
      <c r="A68" s="19">
        <v>66</v>
      </c>
      <c r="B68" t="s">
        <v>307</v>
      </c>
      <c r="C68">
        <v>7.49</v>
      </c>
      <c r="D68" s="19">
        <v>1</v>
      </c>
    </row>
    <row r="69" spans="1:4" x14ac:dyDescent="0.25">
      <c r="A69" s="19">
        <v>67</v>
      </c>
      <c r="B69" t="s">
        <v>87</v>
      </c>
      <c r="C69">
        <v>7.5</v>
      </c>
      <c r="D69" s="19">
        <v>1</v>
      </c>
    </row>
    <row r="70" spans="1:4" x14ac:dyDescent="0.25">
      <c r="A70" s="19">
        <v>68</v>
      </c>
      <c r="B70" t="s">
        <v>151</v>
      </c>
      <c r="C70">
        <v>7.51</v>
      </c>
      <c r="D70" s="19">
        <v>1</v>
      </c>
    </row>
    <row r="71" spans="1:4" x14ac:dyDescent="0.25">
      <c r="A71" s="19">
        <v>69</v>
      </c>
      <c r="B71" t="s">
        <v>141</v>
      </c>
      <c r="C71">
        <v>7.56</v>
      </c>
      <c r="D71" s="19">
        <v>1</v>
      </c>
    </row>
    <row r="72" spans="1:4" x14ac:dyDescent="0.25">
      <c r="A72" s="19">
        <v>70</v>
      </c>
      <c r="B72" t="s">
        <v>155</v>
      </c>
      <c r="C72">
        <v>7.63</v>
      </c>
      <c r="D72" s="19">
        <v>1</v>
      </c>
    </row>
    <row r="73" spans="1:4" x14ac:dyDescent="0.25">
      <c r="A73" s="19">
        <v>71</v>
      </c>
      <c r="B73" t="s">
        <v>113</v>
      </c>
      <c r="C73">
        <v>7.81</v>
      </c>
      <c r="D73" s="19">
        <v>1</v>
      </c>
    </row>
    <row r="74" spans="1:4" x14ac:dyDescent="0.25">
      <c r="A74" s="19">
        <v>72</v>
      </c>
      <c r="B74" t="s">
        <v>265</v>
      </c>
      <c r="C74">
        <v>7.81</v>
      </c>
      <c r="D74" s="19">
        <v>1</v>
      </c>
    </row>
    <row r="75" spans="1:4" x14ac:dyDescent="0.25">
      <c r="A75" s="19">
        <v>73</v>
      </c>
      <c r="B75" t="s">
        <v>107</v>
      </c>
      <c r="C75">
        <v>7.87</v>
      </c>
      <c r="D75" s="19">
        <v>1</v>
      </c>
    </row>
    <row r="76" spans="1:4" x14ac:dyDescent="0.25">
      <c r="A76" s="19">
        <v>74</v>
      </c>
      <c r="B76" t="s">
        <v>213</v>
      </c>
      <c r="C76">
        <v>7.89</v>
      </c>
      <c r="D76" s="19">
        <v>1</v>
      </c>
    </row>
    <row r="77" spans="1:4" x14ac:dyDescent="0.25">
      <c r="A77" s="19">
        <v>75</v>
      </c>
      <c r="B77" t="s">
        <v>125</v>
      </c>
      <c r="C77">
        <v>8.01</v>
      </c>
      <c r="D77" s="19">
        <v>1</v>
      </c>
    </row>
    <row r="78" spans="1:4" x14ac:dyDescent="0.25">
      <c r="A78" s="19">
        <v>76</v>
      </c>
      <c r="B78" t="s">
        <v>299</v>
      </c>
      <c r="C78">
        <v>8.17</v>
      </c>
      <c r="D78" s="19">
        <v>1</v>
      </c>
    </row>
    <row r="79" spans="1:4" x14ac:dyDescent="0.25">
      <c r="A79" s="19">
        <v>77</v>
      </c>
      <c r="B79" t="s">
        <v>97</v>
      </c>
      <c r="C79">
        <v>8.27</v>
      </c>
      <c r="D79" s="19">
        <v>1</v>
      </c>
    </row>
    <row r="80" spans="1:4" x14ac:dyDescent="0.25">
      <c r="A80" s="19">
        <v>78</v>
      </c>
      <c r="B80" t="s">
        <v>69</v>
      </c>
      <c r="C80">
        <v>8.44</v>
      </c>
      <c r="D80" s="19">
        <v>1</v>
      </c>
    </row>
    <row r="81" spans="1:4" x14ac:dyDescent="0.25">
      <c r="A81" s="19">
        <v>79</v>
      </c>
      <c r="B81" t="s">
        <v>189</v>
      </c>
      <c r="C81">
        <v>8.4700000000000006</v>
      </c>
      <c r="D81" s="19">
        <v>1</v>
      </c>
    </row>
    <row r="82" spans="1:4" x14ac:dyDescent="0.25">
      <c r="A82" s="19">
        <v>80</v>
      </c>
      <c r="B82" t="s">
        <v>99</v>
      </c>
      <c r="C82">
        <v>8.57</v>
      </c>
      <c r="D82" s="19">
        <v>1</v>
      </c>
    </row>
    <row r="83" spans="1:4" x14ac:dyDescent="0.25">
      <c r="A83" s="19">
        <v>81</v>
      </c>
      <c r="B83" t="s">
        <v>147</v>
      </c>
      <c r="C83">
        <v>8.68</v>
      </c>
      <c r="D83" s="19">
        <v>1</v>
      </c>
    </row>
    <row r="84" spans="1:4" x14ac:dyDescent="0.25">
      <c r="A84" s="19">
        <v>82</v>
      </c>
      <c r="B84" t="s">
        <v>199</v>
      </c>
      <c r="C84">
        <v>8.7799999999999994</v>
      </c>
      <c r="D84" s="19">
        <v>1</v>
      </c>
    </row>
    <row r="85" spans="1:4" x14ac:dyDescent="0.25">
      <c r="A85" s="19">
        <v>83</v>
      </c>
      <c r="B85" t="s">
        <v>59</v>
      </c>
      <c r="C85">
        <v>8.8000000000000007</v>
      </c>
      <c r="D85" s="19">
        <v>1</v>
      </c>
    </row>
    <row r="86" spans="1:4" x14ac:dyDescent="0.25">
      <c r="A86" s="19">
        <v>84</v>
      </c>
      <c r="B86" t="s">
        <v>101</v>
      </c>
      <c r="C86">
        <v>8.9</v>
      </c>
      <c r="D86" s="19">
        <v>1</v>
      </c>
    </row>
    <row r="87" spans="1:4" x14ac:dyDescent="0.25">
      <c r="A87" s="19">
        <v>85</v>
      </c>
      <c r="B87" t="s">
        <v>313</v>
      </c>
      <c r="C87">
        <v>8.99</v>
      </c>
      <c r="D87" s="19">
        <v>1</v>
      </c>
    </row>
    <row r="88" spans="1:4" x14ac:dyDescent="0.25">
      <c r="A88" s="19">
        <v>86</v>
      </c>
      <c r="B88" t="s">
        <v>85</v>
      </c>
      <c r="C88">
        <v>9.2100000000000009</v>
      </c>
      <c r="D88" s="19">
        <v>1</v>
      </c>
    </row>
    <row r="89" spans="1:4" x14ac:dyDescent="0.25">
      <c r="A89" s="19">
        <v>87</v>
      </c>
      <c r="B89" t="s">
        <v>181</v>
      </c>
      <c r="C89">
        <v>9.23</v>
      </c>
      <c r="D89" s="19">
        <v>1</v>
      </c>
    </row>
    <row r="90" spans="1:4" x14ac:dyDescent="0.25">
      <c r="A90" s="19">
        <v>88</v>
      </c>
      <c r="B90" t="s">
        <v>63</v>
      </c>
      <c r="C90">
        <v>9.39</v>
      </c>
      <c r="D90" s="19">
        <v>1</v>
      </c>
    </row>
    <row r="91" spans="1:4" x14ac:dyDescent="0.25">
      <c r="A91" s="19">
        <v>89</v>
      </c>
      <c r="B91" t="s">
        <v>27</v>
      </c>
      <c r="C91">
        <v>9.4600000000000009</v>
      </c>
      <c r="D91" s="19">
        <v>1</v>
      </c>
    </row>
    <row r="92" spans="1:4" x14ac:dyDescent="0.25">
      <c r="A92" s="19">
        <v>90</v>
      </c>
      <c r="B92" t="s">
        <v>139</v>
      </c>
      <c r="C92">
        <v>9.5</v>
      </c>
      <c r="D92" s="19">
        <v>1</v>
      </c>
    </row>
    <row r="93" spans="1:4" x14ac:dyDescent="0.25">
      <c r="A93" s="19">
        <v>91</v>
      </c>
      <c r="B93" t="s">
        <v>263</v>
      </c>
      <c r="C93">
        <v>9.52</v>
      </c>
      <c r="D93" s="19">
        <v>1</v>
      </c>
    </row>
    <row r="94" spans="1:4" x14ac:dyDescent="0.25">
      <c r="A94" s="19">
        <v>92</v>
      </c>
      <c r="B94" t="s">
        <v>41</v>
      </c>
      <c r="C94">
        <v>9.5299999999999994</v>
      </c>
      <c r="D94" s="19">
        <v>1</v>
      </c>
    </row>
    <row r="95" spans="1:4" x14ac:dyDescent="0.25">
      <c r="A95" s="19">
        <v>93</v>
      </c>
      <c r="B95" t="s">
        <v>301</v>
      </c>
      <c r="C95">
        <v>9.5399999999999991</v>
      </c>
      <c r="D95" s="19">
        <v>1</v>
      </c>
    </row>
    <row r="96" spans="1:4" x14ac:dyDescent="0.25">
      <c r="A96" s="19">
        <v>94</v>
      </c>
      <c r="B96" t="s">
        <v>35</v>
      </c>
      <c r="C96">
        <v>9.7200000000000006</v>
      </c>
      <c r="D96" s="19">
        <v>1</v>
      </c>
    </row>
    <row r="97" spans="1:4" x14ac:dyDescent="0.25">
      <c r="A97" s="19">
        <v>95</v>
      </c>
      <c r="B97" t="s">
        <v>167</v>
      </c>
      <c r="C97">
        <v>9.74</v>
      </c>
      <c r="D97" s="19">
        <v>1</v>
      </c>
    </row>
    <row r="98" spans="1:4" x14ac:dyDescent="0.25">
      <c r="A98" s="19">
        <v>96</v>
      </c>
      <c r="B98" t="s">
        <v>291</v>
      </c>
      <c r="C98">
        <v>9.76</v>
      </c>
      <c r="D98" s="19">
        <v>1</v>
      </c>
    </row>
    <row r="99" spans="1:4" x14ac:dyDescent="0.25">
      <c r="A99" s="19">
        <v>97</v>
      </c>
      <c r="B99" t="s">
        <v>103</v>
      </c>
      <c r="C99">
        <v>9.77</v>
      </c>
      <c r="D99" s="19">
        <v>1</v>
      </c>
    </row>
    <row r="100" spans="1:4" x14ac:dyDescent="0.25">
      <c r="A100" s="19">
        <v>98</v>
      </c>
      <c r="B100" t="s">
        <v>53</v>
      </c>
      <c r="C100">
        <v>9.8000000000000007</v>
      </c>
      <c r="D100" s="19">
        <v>1</v>
      </c>
    </row>
    <row r="101" spans="1:4" x14ac:dyDescent="0.25">
      <c r="A101" s="19">
        <v>99</v>
      </c>
      <c r="B101" t="s">
        <v>159</v>
      </c>
      <c r="C101">
        <v>9.81</v>
      </c>
      <c r="D101" s="19">
        <v>1</v>
      </c>
    </row>
    <row r="102" spans="1:4" x14ac:dyDescent="0.25">
      <c r="A102" s="19">
        <v>100</v>
      </c>
      <c r="B102" t="s">
        <v>109</v>
      </c>
      <c r="C102">
        <v>9.82</v>
      </c>
      <c r="D102" s="19">
        <v>1</v>
      </c>
    </row>
    <row r="103" spans="1:4" x14ac:dyDescent="0.25">
      <c r="A103" s="19">
        <v>101</v>
      </c>
      <c r="B103" t="s">
        <v>29</v>
      </c>
      <c r="C103">
        <v>9.84</v>
      </c>
      <c r="D103" s="19">
        <v>1</v>
      </c>
    </row>
    <row r="104" spans="1:4" x14ac:dyDescent="0.25">
      <c r="A104" s="19">
        <v>102</v>
      </c>
      <c r="B104" t="s">
        <v>163</v>
      </c>
      <c r="C104">
        <v>9.86</v>
      </c>
      <c r="D104" s="19">
        <v>1</v>
      </c>
    </row>
    <row r="105" spans="1:4" x14ac:dyDescent="0.25">
      <c r="A105" s="19">
        <v>103</v>
      </c>
      <c r="B105" t="s">
        <v>193</v>
      </c>
      <c r="C105">
        <v>9.92</v>
      </c>
      <c r="D105" s="19">
        <v>1</v>
      </c>
    </row>
    <row r="106" spans="1:4" x14ac:dyDescent="0.25">
      <c r="A106" s="19">
        <v>104</v>
      </c>
      <c r="B106" t="s">
        <v>195</v>
      </c>
      <c r="C106">
        <v>9.9499999999999993</v>
      </c>
      <c r="D106" s="19">
        <v>1</v>
      </c>
    </row>
    <row r="107" spans="1:4" x14ac:dyDescent="0.25">
      <c r="A107" s="19">
        <v>105</v>
      </c>
      <c r="B107" t="s">
        <v>185</v>
      </c>
      <c r="C107">
        <v>10.06</v>
      </c>
      <c r="D107" s="19">
        <v>1</v>
      </c>
    </row>
    <row r="108" spans="1:4" x14ac:dyDescent="0.25">
      <c r="A108" s="19">
        <v>106</v>
      </c>
      <c r="B108" t="s">
        <v>179</v>
      </c>
      <c r="C108">
        <v>10.08</v>
      </c>
      <c r="D108" s="19">
        <v>1</v>
      </c>
    </row>
    <row r="109" spans="1:4" x14ac:dyDescent="0.25">
      <c r="A109" s="19">
        <v>107</v>
      </c>
      <c r="B109" t="s">
        <v>37</v>
      </c>
      <c r="C109">
        <v>10.119999999999999</v>
      </c>
      <c r="D109" s="19">
        <v>1</v>
      </c>
    </row>
    <row r="110" spans="1:4" x14ac:dyDescent="0.25">
      <c r="A110" s="19">
        <v>108</v>
      </c>
      <c r="B110" t="s">
        <v>297</v>
      </c>
      <c r="C110">
        <v>10.18</v>
      </c>
      <c r="D110" s="19">
        <v>1</v>
      </c>
    </row>
    <row r="111" spans="1:4" x14ac:dyDescent="0.25">
      <c r="A111" s="19">
        <v>109</v>
      </c>
      <c r="B111" t="s">
        <v>187</v>
      </c>
      <c r="C111">
        <v>10.26</v>
      </c>
      <c r="D111" s="19">
        <v>1</v>
      </c>
    </row>
    <row r="112" spans="1:4" x14ac:dyDescent="0.25">
      <c r="A112" s="19">
        <v>110</v>
      </c>
      <c r="B112" t="s">
        <v>279</v>
      </c>
      <c r="C112">
        <v>10.29</v>
      </c>
      <c r="D112" s="19">
        <v>1</v>
      </c>
    </row>
    <row r="113" spans="1:4" x14ac:dyDescent="0.25">
      <c r="A113" s="19">
        <v>111</v>
      </c>
      <c r="B113" t="s">
        <v>177</v>
      </c>
      <c r="C113">
        <v>10.33</v>
      </c>
      <c r="D113" s="19">
        <v>1</v>
      </c>
    </row>
    <row r="114" spans="1:4" x14ac:dyDescent="0.25">
      <c r="A114" s="19">
        <v>112</v>
      </c>
      <c r="B114" t="s">
        <v>191</v>
      </c>
      <c r="C114">
        <v>10.33</v>
      </c>
      <c r="D114" s="19">
        <v>1</v>
      </c>
    </row>
    <row r="115" spans="1:4" x14ac:dyDescent="0.25">
      <c r="A115" s="19">
        <v>113</v>
      </c>
      <c r="B115" t="s">
        <v>13</v>
      </c>
      <c r="C115">
        <v>10.38</v>
      </c>
      <c r="D115" s="19">
        <v>1</v>
      </c>
    </row>
    <row r="116" spans="1:4" x14ac:dyDescent="0.25">
      <c r="A116" s="19">
        <v>114</v>
      </c>
      <c r="B116" t="s">
        <v>133</v>
      </c>
      <c r="C116">
        <v>10.56</v>
      </c>
      <c r="D116" s="19">
        <v>1</v>
      </c>
    </row>
    <row r="117" spans="1:4" x14ac:dyDescent="0.25">
      <c r="A117" s="19">
        <v>115</v>
      </c>
      <c r="B117" t="s">
        <v>1</v>
      </c>
      <c r="C117">
        <v>10.72</v>
      </c>
      <c r="D117" s="19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Export_CSV">
                <anchor moveWithCells="1" sizeWithCells="1">
                  <from>
                    <xdr:col>4</xdr:col>
                    <xdr:colOff>581025</xdr:colOff>
                    <xdr:row>1</xdr:row>
                    <xdr:rowOff>180975</xdr:rowOff>
                  </from>
                  <to>
                    <xdr:col>9</xdr:col>
                    <xdr:colOff>152400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1]!Export_CSV2">
                <anchor moveWithCells="1" sizeWithCells="1">
                  <from>
                    <xdr:col>4</xdr:col>
                    <xdr:colOff>581025</xdr:colOff>
                    <xdr:row>6</xdr:row>
                    <xdr:rowOff>123825</xdr:rowOff>
                  </from>
                  <to>
                    <xdr:col>9</xdr:col>
                    <xdr:colOff>152400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1]!Export_CSV1">
                <anchor moveWithCells="1" sizeWithCells="1">
                  <from>
                    <xdr:col>4</xdr:col>
                    <xdr:colOff>581025</xdr:colOff>
                    <xdr:row>11</xdr:row>
                    <xdr:rowOff>76200</xdr:rowOff>
                  </from>
                  <to>
                    <xdr:col>9</xdr:col>
                    <xdr:colOff>152400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/>
  <dimension ref="A1:N1155"/>
  <sheetViews>
    <sheetView tabSelected="1" workbookViewId="0">
      <selection activeCell="N1" sqref="N1:N1048576"/>
    </sheetView>
  </sheetViews>
  <sheetFormatPr defaultRowHeight="15" x14ac:dyDescent="0.25"/>
  <cols>
    <col min="1" max="1" width="9.85546875" bestFit="1" customWidth="1"/>
    <col min="2" max="2" width="19.140625" customWidth="1"/>
    <col min="3" max="3" width="16.7109375" bestFit="1" customWidth="1"/>
    <col min="4" max="4" width="9.28515625" bestFit="1" customWidth="1"/>
    <col min="5" max="5" width="6" bestFit="1" customWidth="1"/>
    <col min="6" max="6" width="18.28515625" style="3" bestFit="1" customWidth="1"/>
    <col min="7" max="7" width="15.7109375" bestFit="1" customWidth="1"/>
    <col min="8" max="8" width="5.85546875" bestFit="1" customWidth="1"/>
    <col min="9" max="9" width="7.42578125" bestFit="1" customWidth="1"/>
    <col min="10" max="10" width="0" style="19" hidden="1" customWidth="1"/>
    <col min="11" max="11" width="19" style="19" hidden="1" customWidth="1"/>
    <col min="12" max="12" width="0" style="19" hidden="1" customWidth="1"/>
    <col min="13" max="13" width="12.85546875" style="19" hidden="1" customWidth="1"/>
    <col min="14" max="14" width="10.5703125" style="19" customWidth="1"/>
  </cols>
  <sheetData>
    <row r="1" spans="1:14" s="1" customFormat="1" x14ac:dyDescent="0.25">
      <c r="A1" s="1" t="s">
        <v>320</v>
      </c>
      <c r="B1" s="1" t="s">
        <v>358</v>
      </c>
      <c r="C1" s="1" t="s">
        <v>321</v>
      </c>
      <c r="D1" s="1" t="s">
        <v>322</v>
      </c>
      <c r="E1" s="1" t="s">
        <v>323</v>
      </c>
      <c r="F1" s="2" t="s">
        <v>324</v>
      </c>
      <c r="G1" s="1" t="s">
        <v>325</v>
      </c>
      <c r="H1" s="1" t="s">
        <v>326</v>
      </c>
      <c r="I1" s="1" t="s">
        <v>327</v>
      </c>
      <c r="J1" s="19">
        <f>COUNT(E:E)</f>
        <v>159</v>
      </c>
      <c r="K1" s="20" t="s">
        <v>358</v>
      </c>
      <c r="L1" s="20" t="s">
        <v>359</v>
      </c>
      <c r="M1" s="20" t="s">
        <v>360</v>
      </c>
      <c r="N1" s="20" t="s">
        <v>360</v>
      </c>
    </row>
    <row r="2" spans="1:14" x14ac:dyDescent="0.25">
      <c r="A2" t="s">
        <v>82</v>
      </c>
      <c r="B2">
        <v>319338</v>
      </c>
      <c r="C2" t="s">
        <v>83</v>
      </c>
      <c r="D2" t="s">
        <v>2</v>
      </c>
      <c r="E2">
        <v>3.65</v>
      </c>
      <c r="F2" s="3" t="s">
        <v>3</v>
      </c>
      <c r="G2" t="s">
        <v>328</v>
      </c>
      <c r="H2" t="s">
        <v>330</v>
      </c>
      <c r="I2" t="s">
        <v>332</v>
      </c>
      <c r="J2" s="19">
        <f>COUNTIF(N:N,"calibracion")</f>
        <v>115</v>
      </c>
      <c r="K2" s="19">
        <f>IF(C2="","",C2-((TRUNC((C2/1000000),0))*1000000))</f>
        <v>319338</v>
      </c>
      <c r="L2" s="19">
        <f t="shared" ref="L2:L65" ca="1" si="0">IF(A2="","",RANDBETWEEN(1,10))</f>
        <v>3</v>
      </c>
      <c r="M2" s="19" t="str">
        <f t="shared" ref="M2:M65" ca="1" si="1">IF(A2="","",IF(L2&lt;8,"calibracion","validacion"))</f>
        <v>calibracion</v>
      </c>
      <c r="N2" s="19" t="s">
        <v>361</v>
      </c>
    </row>
    <row r="3" spans="1:14" x14ac:dyDescent="0.25">
      <c r="A3" t="s">
        <v>280</v>
      </c>
      <c r="B3">
        <v>545327</v>
      </c>
      <c r="C3" t="s">
        <v>281</v>
      </c>
      <c r="D3" t="s">
        <v>2</v>
      </c>
      <c r="E3">
        <v>3.71</v>
      </c>
      <c r="F3" s="3" t="s">
        <v>3</v>
      </c>
      <c r="G3" t="s">
        <v>328</v>
      </c>
      <c r="H3" t="s">
        <v>330</v>
      </c>
      <c r="I3" t="s">
        <v>329</v>
      </c>
      <c r="J3" s="19">
        <f>COUNTIF(N:N,"validacion")</f>
        <v>44</v>
      </c>
      <c r="K3" s="19">
        <f t="shared" ref="K3:K66" si="2">IF(C3="","",C3-((TRUNC((C3/1000000),0))*1000000))</f>
        <v>545327</v>
      </c>
      <c r="L3" s="19">
        <f t="shared" ca="1" si="0"/>
        <v>9</v>
      </c>
      <c r="M3" s="19" t="str">
        <f t="shared" ca="1" si="1"/>
        <v>validacion</v>
      </c>
      <c r="N3" s="19" t="s">
        <v>362</v>
      </c>
    </row>
    <row r="4" spans="1:14" x14ac:dyDescent="0.25">
      <c r="A4" t="s">
        <v>54</v>
      </c>
      <c r="B4">
        <v>318313</v>
      </c>
      <c r="C4" t="s">
        <v>55</v>
      </c>
      <c r="D4" t="s">
        <v>2</v>
      </c>
      <c r="E4">
        <v>3.83</v>
      </c>
      <c r="F4" s="3" t="s">
        <v>3</v>
      </c>
      <c r="G4" t="s">
        <v>328</v>
      </c>
      <c r="H4" t="s">
        <v>330</v>
      </c>
      <c r="I4" t="s">
        <v>329</v>
      </c>
      <c r="K4" s="19">
        <f t="shared" si="2"/>
        <v>318313</v>
      </c>
      <c r="L4" s="19">
        <f t="shared" ca="1" si="0"/>
        <v>5</v>
      </c>
      <c r="M4" s="19" t="str">
        <f t="shared" ca="1" si="1"/>
        <v>calibracion</v>
      </c>
      <c r="N4" s="19" t="s">
        <v>362</v>
      </c>
    </row>
    <row r="5" spans="1:14" x14ac:dyDescent="0.25">
      <c r="A5" t="s">
        <v>94</v>
      </c>
      <c r="B5">
        <v>320310</v>
      </c>
      <c r="C5" t="s">
        <v>95</v>
      </c>
      <c r="D5" t="s">
        <v>2</v>
      </c>
      <c r="E5">
        <v>4.38</v>
      </c>
      <c r="F5" s="3" t="s">
        <v>3</v>
      </c>
      <c r="G5" t="s">
        <v>328</v>
      </c>
      <c r="H5" t="s">
        <v>330</v>
      </c>
      <c r="I5" t="s">
        <v>332</v>
      </c>
      <c r="K5" s="19">
        <f t="shared" si="2"/>
        <v>320310</v>
      </c>
      <c r="L5" s="19">
        <f t="shared" ca="1" si="0"/>
        <v>9</v>
      </c>
      <c r="M5" s="19" t="str">
        <f t="shared" ca="1" si="1"/>
        <v>validacion</v>
      </c>
      <c r="N5" s="19" t="s">
        <v>362</v>
      </c>
    </row>
    <row r="6" spans="1:14" x14ac:dyDescent="0.25">
      <c r="A6" t="s">
        <v>152</v>
      </c>
      <c r="B6">
        <v>590324</v>
      </c>
      <c r="C6" t="s">
        <v>153</v>
      </c>
      <c r="D6" t="s">
        <v>2</v>
      </c>
      <c r="E6">
        <v>4.38</v>
      </c>
      <c r="F6" s="3" t="s">
        <v>3</v>
      </c>
      <c r="G6" t="s">
        <v>328</v>
      </c>
      <c r="H6" t="s">
        <v>330</v>
      </c>
      <c r="I6" t="s">
        <v>329</v>
      </c>
      <c r="K6" s="19">
        <f t="shared" si="2"/>
        <v>590324</v>
      </c>
      <c r="L6" s="19">
        <f t="shared" ca="1" si="0"/>
        <v>1</v>
      </c>
      <c r="M6" s="19" t="str">
        <f t="shared" ca="1" si="1"/>
        <v>calibracion</v>
      </c>
      <c r="N6" s="19" t="s">
        <v>362</v>
      </c>
    </row>
    <row r="7" spans="1:14" x14ac:dyDescent="0.25">
      <c r="A7" t="s">
        <v>126</v>
      </c>
      <c r="B7">
        <v>337322</v>
      </c>
      <c r="C7" t="s">
        <v>127</v>
      </c>
      <c r="D7" t="s">
        <v>2</v>
      </c>
      <c r="E7">
        <v>4.5</v>
      </c>
      <c r="F7" s="3" t="s">
        <v>3</v>
      </c>
      <c r="G7" t="s">
        <v>328</v>
      </c>
      <c r="H7" t="s">
        <v>330</v>
      </c>
      <c r="I7" t="s">
        <v>334</v>
      </c>
      <c r="K7" s="19">
        <f t="shared" si="2"/>
        <v>337322</v>
      </c>
      <c r="L7" s="19">
        <f t="shared" ca="1" si="0"/>
        <v>2</v>
      </c>
      <c r="M7" s="19" t="str">
        <f t="shared" ca="1" si="1"/>
        <v>calibracion</v>
      </c>
      <c r="N7" s="19" t="s">
        <v>362</v>
      </c>
    </row>
    <row r="8" spans="1:14" x14ac:dyDescent="0.25">
      <c r="A8" t="s">
        <v>104</v>
      </c>
      <c r="B8">
        <v>320324</v>
      </c>
      <c r="C8" t="s">
        <v>105</v>
      </c>
      <c r="D8" t="s">
        <v>2</v>
      </c>
      <c r="E8">
        <v>4.71</v>
      </c>
      <c r="F8" s="3" t="s">
        <v>3</v>
      </c>
      <c r="G8" t="s">
        <v>328</v>
      </c>
      <c r="H8" t="s">
        <v>330</v>
      </c>
      <c r="I8" t="s">
        <v>331</v>
      </c>
      <c r="K8" s="19">
        <f t="shared" si="2"/>
        <v>320324</v>
      </c>
      <c r="L8" s="19">
        <f t="shared" ca="1" si="0"/>
        <v>3</v>
      </c>
      <c r="M8" s="19" t="str">
        <f t="shared" ca="1" si="1"/>
        <v>calibracion</v>
      </c>
      <c r="N8" s="19" t="s">
        <v>362</v>
      </c>
    </row>
    <row r="9" spans="1:14" x14ac:dyDescent="0.25">
      <c r="A9" t="s">
        <v>276</v>
      </c>
      <c r="B9">
        <v>545322</v>
      </c>
      <c r="C9" t="s">
        <v>277</v>
      </c>
      <c r="D9" t="s">
        <v>2</v>
      </c>
      <c r="E9">
        <v>4.79</v>
      </c>
      <c r="F9" s="3" t="s">
        <v>3</v>
      </c>
      <c r="G9" t="s">
        <v>328</v>
      </c>
      <c r="H9" t="s">
        <v>330</v>
      </c>
      <c r="I9" t="s">
        <v>329</v>
      </c>
      <c r="K9" s="19">
        <f t="shared" si="2"/>
        <v>545322</v>
      </c>
      <c r="L9" s="19">
        <f t="shared" ca="1" si="0"/>
        <v>2</v>
      </c>
      <c r="M9" s="19" t="str">
        <f t="shared" ca="1" si="1"/>
        <v>calibracion</v>
      </c>
      <c r="N9" s="19" t="s">
        <v>361</v>
      </c>
    </row>
    <row r="10" spans="1:14" x14ac:dyDescent="0.25">
      <c r="A10" t="s">
        <v>92</v>
      </c>
      <c r="B10">
        <v>320308</v>
      </c>
      <c r="C10" t="s">
        <v>93</v>
      </c>
      <c r="D10" t="s">
        <v>2</v>
      </c>
      <c r="E10">
        <v>4.8499999999999996</v>
      </c>
      <c r="F10" s="3" t="s">
        <v>3</v>
      </c>
      <c r="G10" t="s">
        <v>328</v>
      </c>
      <c r="H10" t="s">
        <v>330</v>
      </c>
      <c r="I10" t="s">
        <v>332</v>
      </c>
      <c r="K10" s="19">
        <f t="shared" si="2"/>
        <v>320308</v>
      </c>
      <c r="L10" s="19">
        <f t="shared" ca="1" si="0"/>
        <v>1</v>
      </c>
      <c r="M10" s="19" t="str">
        <f t="shared" ca="1" si="1"/>
        <v>calibracion</v>
      </c>
      <c r="N10" s="19" t="s">
        <v>361</v>
      </c>
    </row>
    <row r="11" spans="1:14" x14ac:dyDescent="0.25">
      <c r="A11" t="s">
        <v>78</v>
      </c>
      <c r="B11">
        <v>319332</v>
      </c>
      <c r="C11" t="s">
        <v>79</v>
      </c>
      <c r="D11" t="s">
        <v>2</v>
      </c>
      <c r="E11">
        <v>4.8600000000000003</v>
      </c>
      <c r="F11" s="3" t="s">
        <v>3</v>
      </c>
      <c r="G11" t="s">
        <v>328</v>
      </c>
      <c r="H11" t="s">
        <v>330</v>
      </c>
      <c r="I11" t="s">
        <v>329</v>
      </c>
      <c r="K11" s="19">
        <f t="shared" si="2"/>
        <v>319332</v>
      </c>
      <c r="L11" s="19">
        <f t="shared" ca="1" si="0"/>
        <v>4</v>
      </c>
      <c r="M11" s="19" t="str">
        <f t="shared" ca="1" si="1"/>
        <v>calibracion</v>
      </c>
      <c r="N11" s="19" t="s">
        <v>362</v>
      </c>
    </row>
    <row r="12" spans="1:14" x14ac:dyDescent="0.25">
      <c r="A12" t="s">
        <v>246</v>
      </c>
      <c r="B12">
        <v>722304</v>
      </c>
      <c r="C12" t="s">
        <v>247</v>
      </c>
      <c r="D12" t="s">
        <v>2</v>
      </c>
      <c r="E12">
        <v>4.93</v>
      </c>
      <c r="F12" s="3" t="s">
        <v>3</v>
      </c>
      <c r="G12" t="s">
        <v>328</v>
      </c>
      <c r="H12" t="s">
        <v>330</v>
      </c>
      <c r="I12" t="s">
        <v>329</v>
      </c>
      <c r="K12" s="19">
        <f t="shared" si="2"/>
        <v>722304</v>
      </c>
      <c r="L12" s="19">
        <f t="shared" ca="1" si="0"/>
        <v>1</v>
      </c>
      <c r="M12" s="19" t="str">
        <f t="shared" ca="1" si="1"/>
        <v>calibracion</v>
      </c>
      <c r="N12" s="19" t="s">
        <v>362</v>
      </c>
    </row>
    <row r="13" spans="1:14" x14ac:dyDescent="0.25">
      <c r="A13" t="s">
        <v>234</v>
      </c>
      <c r="B13">
        <v>307303</v>
      </c>
      <c r="C13" t="s">
        <v>235</v>
      </c>
      <c r="D13" t="s">
        <v>2</v>
      </c>
      <c r="E13">
        <v>5.03</v>
      </c>
      <c r="F13" s="3" t="s">
        <v>3</v>
      </c>
      <c r="G13" t="s">
        <v>328</v>
      </c>
      <c r="H13" t="s">
        <v>330</v>
      </c>
      <c r="I13" t="s">
        <v>329</v>
      </c>
      <c r="K13" s="19">
        <f t="shared" si="2"/>
        <v>307303</v>
      </c>
      <c r="L13" s="19">
        <f t="shared" ca="1" si="0"/>
        <v>6</v>
      </c>
      <c r="M13" s="19" t="str">
        <f t="shared" ca="1" si="1"/>
        <v>calibracion</v>
      </c>
      <c r="N13" s="19" t="s">
        <v>362</v>
      </c>
    </row>
    <row r="14" spans="1:14" x14ac:dyDescent="0.25">
      <c r="A14" t="s">
        <v>282</v>
      </c>
      <c r="B14">
        <v>545329</v>
      </c>
      <c r="C14" t="s">
        <v>283</v>
      </c>
      <c r="D14" t="s">
        <v>2</v>
      </c>
      <c r="E14">
        <v>5.03</v>
      </c>
      <c r="F14" s="3" t="s">
        <v>3</v>
      </c>
      <c r="G14" t="s">
        <v>328</v>
      </c>
      <c r="H14" t="s">
        <v>330</v>
      </c>
      <c r="I14" t="s">
        <v>329</v>
      </c>
      <c r="K14" s="19">
        <f t="shared" si="2"/>
        <v>545329</v>
      </c>
      <c r="L14" s="19">
        <f t="shared" ca="1" si="0"/>
        <v>2</v>
      </c>
      <c r="M14" s="19" t="str">
        <f t="shared" ca="1" si="1"/>
        <v>calibracion</v>
      </c>
      <c r="N14" s="19" t="s">
        <v>361</v>
      </c>
    </row>
    <row r="15" spans="1:14" x14ac:dyDescent="0.25">
      <c r="A15" t="s">
        <v>318</v>
      </c>
      <c r="B15">
        <v>780321</v>
      </c>
      <c r="C15" t="s">
        <v>319</v>
      </c>
      <c r="D15" t="s">
        <v>2</v>
      </c>
      <c r="E15">
        <v>5.03</v>
      </c>
      <c r="F15" s="3" t="s">
        <v>3</v>
      </c>
      <c r="G15" t="s">
        <v>328</v>
      </c>
      <c r="H15" t="s">
        <v>330</v>
      </c>
      <c r="I15" t="s">
        <v>329</v>
      </c>
      <c r="K15" s="19">
        <f t="shared" si="2"/>
        <v>780321</v>
      </c>
      <c r="L15" s="19">
        <f t="shared" ca="1" si="0"/>
        <v>2</v>
      </c>
      <c r="M15" s="19" t="str">
        <f t="shared" ca="1" si="1"/>
        <v>calibracion</v>
      </c>
      <c r="N15" s="19" t="s">
        <v>362</v>
      </c>
    </row>
    <row r="16" spans="1:14" x14ac:dyDescent="0.25">
      <c r="A16" t="s">
        <v>250</v>
      </c>
      <c r="B16">
        <v>445326</v>
      </c>
      <c r="C16" t="s">
        <v>251</v>
      </c>
      <c r="D16" t="s">
        <v>2</v>
      </c>
      <c r="E16">
        <v>5.09</v>
      </c>
      <c r="F16" s="3" t="s">
        <v>3</v>
      </c>
      <c r="G16" t="s">
        <v>328</v>
      </c>
      <c r="H16" t="s">
        <v>330</v>
      </c>
      <c r="I16" t="s">
        <v>329</v>
      </c>
      <c r="K16" s="19">
        <f t="shared" si="2"/>
        <v>445326</v>
      </c>
      <c r="L16" s="19">
        <f t="shared" ca="1" si="0"/>
        <v>4</v>
      </c>
      <c r="M16" s="19" t="str">
        <f t="shared" ca="1" si="1"/>
        <v>calibracion</v>
      </c>
      <c r="N16" s="19" t="s">
        <v>362</v>
      </c>
    </row>
    <row r="17" spans="1:14" x14ac:dyDescent="0.25">
      <c r="A17" t="s">
        <v>254</v>
      </c>
      <c r="B17">
        <v>443340</v>
      </c>
      <c r="C17" t="s">
        <v>255</v>
      </c>
      <c r="D17" t="s">
        <v>2</v>
      </c>
      <c r="E17">
        <v>5.16</v>
      </c>
      <c r="F17" s="3" t="s">
        <v>3</v>
      </c>
      <c r="G17" t="s">
        <v>328</v>
      </c>
      <c r="H17" t="s">
        <v>330</v>
      </c>
      <c r="I17" t="s">
        <v>329</v>
      </c>
      <c r="K17" s="19">
        <f t="shared" si="2"/>
        <v>443340</v>
      </c>
      <c r="L17" s="19">
        <f t="shared" ca="1" si="0"/>
        <v>9</v>
      </c>
      <c r="M17" s="19" t="str">
        <f t="shared" ca="1" si="1"/>
        <v>validacion</v>
      </c>
      <c r="N17" s="19" t="s">
        <v>362</v>
      </c>
    </row>
    <row r="18" spans="1:14" x14ac:dyDescent="0.25">
      <c r="A18" t="s">
        <v>248</v>
      </c>
      <c r="B18">
        <v>722335</v>
      </c>
      <c r="C18" t="s">
        <v>249</v>
      </c>
      <c r="D18" t="s">
        <v>2</v>
      </c>
      <c r="E18">
        <v>5.22</v>
      </c>
      <c r="F18" s="3" t="s">
        <v>3</v>
      </c>
      <c r="G18" t="s">
        <v>328</v>
      </c>
      <c r="H18" t="s">
        <v>330</v>
      </c>
      <c r="I18" t="s">
        <v>329</v>
      </c>
      <c r="K18" s="19">
        <f t="shared" si="2"/>
        <v>722335</v>
      </c>
      <c r="L18" s="19">
        <f t="shared" ca="1" si="0"/>
        <v>6</v>
      </c>
      <c r="M18" s="19" t="str">
        <f t="shared" ca="1" si="1"/>
        <v>calibracion</v>
      </c>
      <c r="N18" s="19" t="s">
        <v>362</v>
      </c>
    </row>
    <row r="19" spans="1:14" x14ac:dyDescent="0.25">
      <c r="A19" t="s">
        <v>50</v>
      </c>
      <c r="B19">
        <v>318305</v>
      </c>
      <c r="C19" t="s">
        <v>51</v>
      </c>
      <c r="D19" t="s">
        <v>2</v>
      </c>
      <c r="E19">
        <v>5.29</v>
      </c>
      <c r="F19" s="3" t="s">
        <v>3</v>
      </c>
      <c r="G19" t="s">
        <v>328</v>
      </c>
      <c r="H19" t="s">
        <v>330</v>
      </c>
      <c r="I19" t="s">
        <v>329</v>
      </c>
      <c r="K19" s="19">
        <f t="shared" si="2"/>
        <v>318305</v>
      </c>
      <c r="L19" s="19">
        <f t="shared" ca="1" si="0"/>
        <v>7</v>
      </c>
      <c r="M19" s="19" t="str">
        <f t="shared" ca="1" si="1"/>
        <v>calibracion</v>
      </c>
      <c r="N19" s="19" t="s">
        <v>362</v>
      </c>
    </row>
    <row r="20" spans="1:14" x14ac:dyDescent="0.25">
      <c r="A20" t="s">
        <v>232</v>
      </c>
      <c r="B20">
        <v>301326</v>
      </c>
      <c r="C20" t="s">
        <v>233</v>
      </c>
      <c r="D20" t="s">
        <v>2</v>
      </c>
      <c r="E20">
        <v>5.41</v>
      </c>
      <c r="F20" s="3" t="s">
        <v>3</v>
      </c>
      <c r="G20" t="s">
        <v>328</v>
      </c>
      <c r="H20" t="s">
        <v>330</v>
      </c>
      <c r="I20" t="s">
        <v>329</v>
      </c>
      <c r="K20" s="19">
        <f t="shared" si="2"/>
        <v>301326</v>
      </c>
      <c r="L20" s="19">
        <f t="shared" ca="1" si="0"/>
        <v>10</v>
      </c>
      <c r="M20" s="19" t="str">
        <f t="shared" ca="1" si="1"/>
        <v>validacion</v>
      </c>
      <c r="N20" s="19" t="s">
        <v>362</v>
      </c>
    </row>
    <row r="21" spans="1:14" x14ac:dyDescent="0.25">
      <c r="A21" t="s">
        <v>218</v>
      </c>
      <c r="B21">
        <v>511327</v>
      </c>
      <c r="C21" t="s">
        <v>219</v>
      </c>
      <c r="D21" t="s">
        <v>2</v>
      </c>
      <c r="E21">
        <v>5.45</v>
      </c>
      <c r="F21" s="3" t="s">
        <v>3</v>
      </c>
      <c r="G21" t="s">
        <v>328</v>
      </c>
      <c r="H21" t="s">
        <v>330</v>
      </c>
      <c r="I21" t="s">
        <v>329</v>
      </c>
      <c r="K21" s="19">
        <f t="shared" si="2"/>
        <v>511327</v>
      </c>
      <c r="L21" s="19">
        <f t="shared" ca="1" si="0"/>
        <v>1</v>
      </c>
      <c r="M21" s="19" t="str">
        <f t="shared" ca="1" si="1"/>
        <v>calibracion</v>
      </c>
      <c r="N21" s="19" t="s">
        <v>361</v>
      </c>
    </row>
    <row r="22" spans="1:14" x14ac:dyDescent="0.25">
      <c r="A22" t="s">
        <v>224</v>
      </c>
      <c r="B22">
        <v>640321</v>
      </c>
      <c r="C22" t="s">
        <v>225</v>
      </c>
      <c r="D22" t="s">
        <v>2</v>
      </c>
      <c r="E22">
        <v>5.47</v>
      </c>
      <c r="F22" s="3" t="s">
        <v>3</v>
      </c>
      <c r="G22" t="s">
        <v>328</v>
      </c>
      <c r="H22" t="s">
        <v>330</v>
      </c>
      <c r="I22" t="s">
        <v>329</v>
      </c>
      <c r="K22" s="19">
        <f t="shared" si="2"/>
        <v>640321</v>
      </c>
      <c r="L22" s="19">
        <f t="shared" ca="1" si="0"/>
        <v>10</v>
      </c>
      <c r="M22" s="19" t="str">
        <f t="shared" ca="1" si="1"/>
        <v>validacion</v>
      </c>
      <c r="N22" s="19" t="s">
        <v>361</v>
      </c>
    </row>
    <row r="23" spans="1:14" x14ac:dyDescent="0.25">
      <c r="A23" t="s">
        <v>210</v>
      </c>
      <c r="B23">
        <v>509308</v>
      </c>
      <c r="C23" t="s">
        <v>211</v>
      </c>
      <c r="D23" t="s">
        <v>2</v>
      </c>
      <c r="E23">
        <v>5.59</v>
      </c>
      <c r="F23" s="3" t="s">
        <v>3</v>
      </c>
      <c r="G23" t="s">
        <v>328</v>
      </c>
      <c r="H23" t="s">
        <v>330</v>
      </c>
      <c r="I23" t="s">
        <v>329</v>
      </c>
      <c r="K23" s="19">
        <f t="shared" si="2"/>
        <v>509308</v>
      </c>
      <c r="L23" s="19">
        <f t="shared" ca="1" si="0"/>
        <v>6</v>
      </c>
      <c r="M23" s="19" t="str">
        <f t="shared" ca="1" si="1"/>
        <v>calibracion</v>
      </c>
      <c r="N23" s="19" t="s">
        <v>362</v>
      </c>
    </row>
    <row r="24" spans="1:14" x14ac:dyDescent="0.25">
      <c r="A24" t="s">
        <v>256</v>
      </c>
      <c r="B24">
        <v>545307</v>
      </c>
      <c r="C24" t="s">
        <v>257</v>
      </c>
      <c r="D24" t="s">
        <v>2</v>
      </c>
      <c r="E24">
        <v>5.59</v>
      </c>
      <c r="F24" s="3" t="s">
        <v>3</v>
      </c>
      <c r="G24" t="s">
        <v>328</v>
      </c>
      <c r="H24" t="s">
        <v>330</v>
      </c>
      <c r="I24" t="s">
        <v>329</v>
      </c>
      <c r="K24" s="19">
        <f t="shared" si="2"/>
        <v>545307</v>
      </c>
      <c r="L24" s="19">
        <f t="shared" ca="1" si="0"/>
        <v>1</v>
      </c>
      <c r="M24" s="19" t="str">
        <f t="shared" ca="1" si="1"/>
        <v>calibracion</v>
      </c>
      <c r="N24" s="19" t="s">
        <v>361</v>
      </c>
    </row>
    <row r="25" spans="1:14" x14ac:dyDescent="0.25">
      <c r="A25" t="s">
        <v>240</v>
      </c>
      <c r="B25">
        <v>356304</v>
      </c>
      <c r="C25" t="s">
        <v>241</v>
      </c>
      <c r="D25" t="s">
        <v>2</v>
      </c>
      <c r="E25">
        <v>5.61</v>
      </c>
      <c r="F25" s="3" t="s">
        <v>3</v>
      </c>
      <c r="G25" t="s">
        <v>328</v>
      </c>
      <c r="H25" t="s">
        <v>330</v>
      </c>
      <c r="I25" t="s">
        <v>329</v>
      </c>
      <c r="K25" s="19">
        <f t="shared" si="2"/>
        <v>356304</v>
      </c>
      <c r="L25" s="19">
        <f t="shared" ca="1" si="0"/>
        <v>7</v>
      </c>
      <c r="M25" s="19" t="str">
        <f t="shared" ca="1" si="1"/>
        <v>calibracion</v>
      </c>
      <c r="N25" s="19" t="s">
        <v>362</v>
      </c>
    </row>
    <row r="26" spans="1:14" x14ac:dyDescent="0.25">
      <c r="A26" t="s">
        <v>110</v>
      </c>
      <c r="B26">
        <v>320330</v>
      </c>
      <c r="C26" t="s">
        <v>111</v>
      </c>
      <c r="D26" t="s">
        <v>2</v>
      </c>
      <c r="E26">
        <v>5.71</v>
      </c>
      <c r="F26" s="3" t="s">
        <v>3</v>
      </c>
      <c r="G26" t="s">
        <v>328</v>
      </c>
      <c r="H26" t="s">
        <v>330</v>
      </c>
      <c r="I26" t="s">
        <v>329</v>
      </c>
      <c r="K26" s="19">
        <f t="shared" si="2"/>
        <v>320330</v>
      </c>
      <c r="L26" s="19">
        <f t="shared" ca="1" si="0"/>
        <v>1</v>
      </c>
      <c r="M26" s="19" t="str">
        <f t="shared" ca="1" si="1"/>
        <v>calibracion</v>
      </c>
      <c r="N26" s="19" t="s">
        <v>362</v>
      </c>
    </row>
    <row r="27" spans="1:14" x14ac:dyDescent="0.25">
      <c r="A27" t="s">
        <v>66</v>
      </c>
      <c r="B27">
        <v>319316</v>
      </c>
      <c r="C27" t="s">
        <v>67</v>
      </c>
      <c r="D27" t="s">
        <v>2</v>
      </c>
      <c r="E27">
        <v>5.74</v>
      </c>
      <c r="F27" s="3" t="s">
        <v>3</v>
      </c>
      <c r="G27" t="s">
        <v>328</v>
      </c>
      <c r="H27" t="s">
        <v>330</v>
      </c>
      <c r="I27" t="s">
        <v>329</v>
      </c>
      <c r="K27" s="19">
        <f t="shared" si="2"/>
        <v>319316</v>
      </c>
      <c r="L27" s="19">
        <f t="shared" ca="1" si="0"/>
        <v>5</v>
      </c>
      <c r="M27" s="19" t="str">
        <f t="shared" ca="1" si="1"/>
        <v>calibracion</v>
      </c>
      <c r="N27" s="19" t="s">
        <v>362</v>
      </c>
    </row>
    <row r="28" spans="1:14" x14ac:dyDescent="0.25">
      <c r="A28" t="s">
        <v>80</v>
      </c>
      <c r="B28">
        <v>319334</v>
      </c>
      <c r="C28" t="s">
        <v>81</v>
      </c>
      <c r="D28" t="s">
        <v>2</v>
      </c>
      <c r="E28">
        <v>5.74</v>
      </c>
      <c r="F28" s="3" t="s">
        <v>3</v>
      </c>
      <c r="G28" t="s">
        <v>328</v>
      </c>
      <c r="H28" t="s">
        <v>330</v>
      </c>
      <c r="I28" t="s">
        <v>332</v>
      </c>
      <c r="K28" s="19">
        <f t="shared" si="2"/>
        <v>319334</v>
      </c>
      <c r="L28" s="19">
        <f t="shared" ca="1" si="0"/>
        <v>4</v>
      </c>
      <c r="M28" s="19" t="str">
        <f t="shared" ca="1" si="1"/>
        <v>calibracion</v>
      </c>
      <c r="N28" s="19" t="s">
        <v>361</v>
      </c>
    </row>
    <row r="29" spans="1:14" x14ac:dyDescent="0.25">
      <c r="A29" t="s">
        <v>226</v>
      </c>
      <c r="B29">
        <v>640319</v>
      </c>
      <c r="C29" t="s">
        <v>227</v>
      </c>
      <c r="D29" t="s">
        <v>2</v>
      </c>
      <c r="E29">
        <v>5.75</v>
      </c>
      <c r="F29" s="3" t="s">
        <v>3</v>
      </c>
      <c r="G29" t="s">
        <v>328</v>
      </c>
      <c r="H29" t="s">
        <v>330</v>
      </c>
      <c r="I29" t="s">
        <v>329</v>
      </c>
      <c r="K29" s="19">
        <f t="shared" si="2"/>
        <v>640319</v>
      </c>
      <c r="L29" s="19">
        <f t="shared" ca="1" si="0"/>
        <v>4</v>
      </c>
      <c r="M29" s="19" t="str">
        <f t="shared" ca="1" si="1"/>
        <v>calibracion</v>
      </c>
      <c r="N29" s="19" t="s">
        <v>361</v>
      </c>
    </row>
    <row r="30" spans="1:14" x14ac:dyDescent="0.25">
      <c r="A30" t="s">
        <v>144</v>
      </c>
      <c r="B30">
        <v>590314</v>
      </c>
      <c r="C30" t="s">
        <v>145</v>
      </c>
      <c r="D30" t="s">
        <v>2</v>
      </c>
      <c r="E30">
        <v>5.8</v>
      </c>
      <c r="F30" s="3" t="s">
        <v>3</v>
      </c>
      <c r="G30" t="s">
        <v>328</v>
      </c>
      <c r="H30" t="s">
        <v>330</v>
      </c>
      <c r="I30" t="s">
        <v>329</v>
      </c>
      <c r="K30" s="19">
        <f t="shared" si="2"/>
        <v>590314</v>
      </c>
      <c r="L30" s="19">
        <f t="shared" ca="1" si="0"/>
        <v>3</v>
      </c>
      <c r="M30" s="19" t="str">
        <f t="shared" ca="1" si="1"/>
        <v>calibracion</v>
      </c>
      <c r="N30" s="19" t="s">
        <v>361</v>
      </c>
    </row>
    <row r="31" spans="1:14" x14ac:dyDescent="0.25">
      <c r="A31" t="s">
        <v>238</v>
      </c>
      <c r="B31">
        <v>356309</v>
      </c>
      <c r="C31" t="s">
        <v>239</v>
      </c>
      <c r="D31" t="s">
        <v>2</v>
      </c>
      <c r="E31">
        <v>5.8</v>
      </c>
      <c r="F31" s="3" t="s">
        <v>3</v>
      </c>
      <c r="G31" t="s">
        <v>328</v>
      </c>
      <c r="H31" t="s">
        <v>330</v>
      </c>
      <c r="I31" t="s">
        <v>329</v>
      </c>
      <c r="K31" s="19">
        <f t="shared" si="2"/>
        <v>356309</v>
      </c>
      <c r="L31" s="19">
        <f t="shared" ca="1" si="0"/>
        <v>1</v>
      </c>
      <c r="M31" s="19" t="str">
        <f t="shared" ca="1" si="1"/>
        <v>calibracion</v>
      </c>
      <c r="N31" s="19" t="s">
        <v>362</v>
      </c>
    </row>
    <row r="32" spans="1:14" x14ac:dyDescent="0.25">
      <c r="A32" t="s">
        <v>56</v>
      </c>
      <c r="B32">
        <v>318325</v>
      </c>
      <c r="C32" t="s">
        <v>57</v>
      </c>
      <c r="D32" t="s">
        <v>2</v>
      </c>
      <c r="E32">
        <v>5.81</v>
      </c>
      <c r="F32" s="3" t="s">
        <v>3</v>
      </c>
      <c r="G32" t="s">
        <v>328</v>
      </c>
      <c r="H32" t="s">
        <v>330</v>
      </c>
      <c r="I32" t="s">
        <v>329</v>
      </c>
      <c r="K32" s="19">
        <f t="shared" si="2"/>
        <v>318325</v>
      </c>
      <c r="L32" s="19">
        <f t="shared" ca="1" si="0"/>
        <v>3</v>
      </c>
      <c r="M32" s="19" t="str">
        <f t="shared" ca="1" si="1"/>
        <v>calibracion</v>
      </c>
      <c r="N32" s="19" t="s">
        <v>361</v>
      </c>
    </row>
    <row r="33" spans="1:14" x14ac:dyDescent="0.25">
      <c r="A33" t="s">
        <v>270</v>
      </c>
      <c r="B33">
        <v>548326</v>
      </c>
      <c r="C33" t="s">
        <v>271</v>
      </c>
      <c r="D33" t="s">
        <v>2</v>
      </c>
      <c r="E33">
        <v>5.85</v>
      </c>
      <c r="F33" s="3" t="s">
        <v>3</v>
      </c>
      <c r="G33" t="s">
        <v>328</v>
      </c>
      <c r="H33" t="s">
        <v>330</v>
      </c>
      <c r="I33" t="s">
        <v>329</v>
      </c>
      <c r="K33" s="19">
        <f t="shared" si="2"/>
        <v>548326</v>
      </c>
      <c r="L33" s="19">
        <f t="shared" ca="1" si="0"/>
        <v>10</v>
      </c>
      <c r="M33" s="19" t="str">
        <f t="shared" ca="1" si="1"/>
        <v>validacion</v>
      </c>
      <c r="N33" s="19" t="s">
        <v>362</v>
      </c>
    </row>
    <row r="34" spans="1:14" x14ac:dyDescent="0.25">
      <c r="A34" t="s">
        <v>236</v>
      </c>
      <c r="B34">
        <v>356312</v>
      </c>
      <c r="C34" t="s">
        <v>237</v>
      </c>
      <c r="D34" t="s">
        <v>2</v>
      </c>
      <c r="E34">
        <v>5.86</v>
      </c>
      <c r="F34" s="3" t="s">
        <v>3</v>
      </c>
      <c r="G34" t="s">
        <v>328</v>
      </c>
      <c r="H34" t="s">
        <v>330</v>
      </c>
      <c r="I34" t="s">
        <v>329</v>
      </c>
      <c r="K34" s="19">
        <f t="shared" si="2"/>
        <v>356312</v>
      </c>
      <c r="L34" s="19">
        <f t="shared" ca="1" si="0"/>
        <v>6</v>
      </c>
      <c r="M34" s="19" t="str">
        <f t="shared" ca="1" si="1"/>
        <v>calibracion</v>
      </c>
      <c r="N34" s="19" t="s">
        <v>361</v>
      </c>
    </row>
    <row r="35" spans="1:14" x14ac:dyDescent="0.25">
      <c r="A35" t="s">
        <v>222</v>
      </c>
      <c r="B35">
        <v>511337</v>
      </c>
      <c r="C35" t="s">
        <v>223</v>
      </c>
      <c r="D35" t="s">
        <v>2</v>
      </c>
      <c r="E35">
        <v>5.9</v>
      </c>
      <c r="F35" s="3" t="s">
        <v>3</v>
      </c>
      <c r="G35" t="s">
        <v>328</v>
      </c>
      <c r="H35" t="s">
        <v>330</v>
      </c>
      <c r="I35" t="s">
        <v>329</v>
      </c>
      <c r="K35" s="19">
        <f t="shared" si="2"/>
        <v>511337</v>
      </c>
      <c r="L35" s="19">
        <f t="shared" ca="1" si="0"/>
        <v>1</v>
      </c>
      <c r="M35" s="19" t="str">
        <f t="shared" ca="1" si="1"/>
        <v>calibracion</v>
      </c>
      <c r="N35" s="19" t="s">
        <v>362</v>
      </c>
    </row>
    <row r="36" spans="1:14" x14ac:dyDescent="0.25">
      <c r="A36" t="s">
        <v>38</v>
      </c>
      <c r="B36">
        <v>317308</v>
      </c>
      <c r="C36" t="s">
        <v>39</v>
      </c>
      <c r="D36" t="s">
        <v>2</v>
      </c>
      <c r="E36">
        <v>5.91</v>
      </c>
      <c r="F36" s="3" t="s">
        <v>3</v>
      </c>
      <c r="G36" t="s">
        <v>328</v>
      </c>
      <c r="H36" t="s">
        <v>330</v>
      </c>
      <c r="I36" t="s">
        <v>329</v>
      </c>
      <c r="K36" s="19">
        <f t="shared" si="2"/>
        <v>317308</v>
      </c>
      <c r="L36" s="19">
        <f t="shared" ca="1" si="0"/>
        <v>8</v>
      </c>
      <c r="M36" s="19" t="str">
        <f t="shared" ca="1" si="1"/>
        <v>validacion</v>
      </c>
      <c r="N36" s="19" t="s">
        <v>362</v>
      </c>
    </row>
    <row r="37" spans="1:14" x14ac:dyDescent="0.25">
      <c r="A37" t="s">
        <v>70</v>
      </c>
      <c r="B37">
        <v>319322</v>
      </c>
      <c r="C37" t="s">
        <v>71</v>
      </c>
      <c r="D37" t="s">
        <v>2</v>
      </c>
      <c r="E37">
        <v>5.91</v>
      </c>
      <c r="F37" s="3" t="s">
        <v>3</v>
      </c>
      <c r="G37" t="s">
        <v>328</v>
      </c>
      <c r="H37" t="s">
        <v>330</v>
      </c>
      <c r="I37" t="s">
        <v>329</v>
      </c>
      <c r="K37" s="19">
        <f t="shared" si="2"/>
        <v>319322</v>
      </c>
      <c r="L37" s="19">
        <f t="shared" ca="1" si="0"/>
        <v>6</v>
      </c>
      <c r="M37" s="19" t="str">
        <f t="shared" ca="1" si="1"/>
        <v>calibracion</v>
      </c>
      <c r="N37" s="19" t="s">
        <v>362</v>
      </c>
    </row>
    <row r="38" spans="1:14" x14ac:dyDescent="0.25">
      <c r="A38" t="s">
        <v>10</v>
      </c>
      <c r="B38">
        <v>795318</v>
      </c>
      <c r="C38" t="s">
        <v>11</v>
      </c>
      <c r="D38" t="s">
        <v>2</v>
      </c>
      <c r="E38">
        <v>5.94</v>
      </c>
      <c r="F38" s="3" t="s">
        <v>3</v>
      </c>
      <c r="G38" t="s">
        <v>328</v>
      </c>
      <c r="H38" t="s">
        <v>330</v>
      </c>
      <c r="I38" t="s">
        <v>329</v>
      </c>
      <c r="K38" s="19">
        <f t="shared" si="2"/>
        <v>795318</v>
      </c>
      <c r="L38" s="19">
        <f t="shared" ca="1" si="0"/>
        <v>9</v>
      </c>
      <c r="M38" s="19" t="str">
        <f t="shared" ca="1" si="1"/>
        <v>validacion</v>
      </c>
      <c r="N38" s="19" t="s">
        <v>362</v>
      </c>
    </row>
    <row r="39" spans="1:14" x14ac:dyDescent="0.25">
      <c r="A39" t="s">
        <v>46</v>
      </c>
      <c r="B39">
        <v>317326</v>
      </c>
      <c r="C39" t="s">
        <v>47</v>
      </c>
      <c r="D39" t="s">
        <v>2</v>
      </c>
      <c r="E39">
        <v>6</v>
      </c>
      <c r="F39" s="3" t="s">
        <v>3</v>
      </c>
      <c r="G39" t="s">
        <v>328</v>
      </c>
      <c r="H39" t="s">
        <v>330</v>
      </c>
      <c r="I39" t="s">
        <v>329</v>
      </c>
      <c r="K39" s="19">
        <f t="shared" si="2"/>
        <v>317326</v>
      </c>
      <c r="L39" s="19">
        <f t="shared" ca="1" si="0"/>
        <v>2</v>
      </c>
      <c r="M39" s="19" t="str">
        <f t="shared" ca="1" si="1"/>
        <v>calibracion</v>
      </c>
      <c r="N39" s="19" t="s">
        <v>362</v>
      </c>
    </row>
    <row r="40" spans="1:14" x14ac:dyDescent="0.25">
      <c r="A40" t="s">
        <v>48</v>
      </c>
      <c r="B40">
        <v>317336</v>
      </c>
      <c r="C40" t="s">
        <v>49</v>
      </c>
      <c r="D40" t="s">
        <v>2</v>
      </c>
      <c r="E40">
        <v>6</v>
      </c>
      <c r="F40" s="3" t="s">
        <v>3</v>
      </c>
      <c r="G40" t="s">
        <v>328</v>
      </c>
      <c r="H40" t="s">
        <v>330</v>
      </c>
      <c r="I40" t="s">
        <v>329</v>
      </c>
      <c r="K40" s="19">
        <f t="shared" si="2"/>
        <v>317336</v>
      </c>
      <c r="L40" s="19">
        <f t="shared" ca="1" si="0"/>
        <v>2</v>
      </c>
      <c r="M40" s="19" t="str">
        <f t="shared" ca="1" si="1"/>
        <v>calibracion</v>
      </c>
      <c r="N40" s="19" t="s">
        <v>361</v>
      </c>
    </row>
    <row r="41" spans="1:14" x14ac:dyDescent="0.25">
      <c r="A41" t="s">
        <v>242</v>
      </c>
      <c r="B41">
        <v>356308</v>
      </c>
      <c r="C41" t="s">
        <v>243</v>
      </c>
      <c r="D41" t="s">
        <v>2</v>
      </c>
      <c r="E41">
        <v>6.02</v>
      </c>
      <c r="F41" s="3" t="s">
        <v>3</v>
      </c>
      <c r="G41" t="s">
        <v>328</v>
      </c>
      <c r="H41" t="s">
        <v>330</v>
      </c>
      <c r="I41" t="s">
        <v>329</v>
      </c>
      <c r="K41" s="19">
        <f t="shared" si="2"/>
        <v>356308</v>
      </c>
      <c r="L41" s="19">
        <f t="shared" ca="1" si="0"/>
        <v>5</v>
      </c>
      <c r="M41" s="19" t="str">
        <f t="shared" ca="1" si="1"/>
        <v>calibracion</v>
      </c>
      <c r="N41" s="19" t="s">
        <v>362</v>
      </c>
    </row>
    <row r="42" spans="1:14" x14ac:dyDescent="0.25">
      <c r="A42" t="s">
        <v>244</v>
      </c>
      <c r="B42">
        <v>356310</v>
      </c>
      <c r="C42" t="s">
        <v>245</v>
      </c>
      <c r="D42" t="s">
        <v>2</v>
      </c>
      <c r="E42">
        <v>6.02</v>
      </c>
      <c r="F42" s="3" t="s">
        <v>3</v>
      </c>
      <c r="G42" t="s">
        <v>328</v>
      </c>
      <c r="H42" t="s">
        <v>330</v>
      </c>
      <c r="I42" t="s">
        <v>329</v>
      </c>
      <c r="K42" s="19">
        <f t="shared" si="2"/>
        <v>356310</v>
      </c>
      <c r="L42" s="19">
        <f t="shared" ca="1" si="0"/>
        <v>4</v>
      </c>
      <c r="M42" s="19" t="str">
        <f t="shared" ca="1" si="1"/>
        <v>calibracion</v>
      </c>
      <c r="N42" s="19" t="s">
        <v>362</v>
      </c>
    </row>
    <row r="43" spans="1:14" x14ac:dyDescent="0.25">
      <c r="A43" t="s">
        <v>72</v>
      </c>
      <c r="B43">
        <v>319324</v>
      </c>
      <c r="C43" t="s">
        <v>73</v>
      </c>
      <c r="D43" t="s">
        <v>2</v>
      </c>
      <c r="E43">
        <v>6.04</v>
      </c>
      <c r="F43" s="3" t="s">
        <v>3</v>
      </c>
      <c r="G43" t="s">
        <v>328</v>
      </c>
      <c r="H43" t="s">
        <v>330</v>
      </c>
      <c r="I43" t="s">
        <v>329</v>
      </c>
      <c r="K43" s="19">
        <f t="shared" si="2"/>
        <v>319324</v>
      </c>
      <c r="L43" s="19">
        <f t="shared" ca="1" si="0"/>
        <v>5</v>
      </c>
      <c r="M43" s="19" t="str">
        <f t="shared" ca="1" si="1"/>
        <v>calibracion</v>
      </c>
      <c r="N43" s="19" t="s">
        <v>362</v>
      </c>
    </row>
    <row r="44" spans="1:14" x14ac:dyDescent="0.25">
      <c r="A44" t="s">
        <v>220</v>
      </c>
      <c r="B44">
        <v>523322</v>
      </c>
      <c r="C44" t="s">
        <v>221</v>
      </c>
      <c r="D44" t="s">
        <v>2</v>
      </c>
      <c r="E44">
        <v>6.06</v>
      </c>
      <c r="F44" s="3" t="s">
        <v>3</v>
      </c>
      <c r="G44" t="s">
        <v>328</v>
      </c>
      <c r="H44" t="s">
        <v>330</v>
      </c>
      <c r="I44" t="s">
        <v>329</v>
      </c>
      <c r="K44" s="19">
        <f t="shared" si="2"/>
        <v>523322</v>
      </c>
      <c r="L44" s="19">
        <f t="shared" ca="1" si="0"/>
        <v>5</v>
      </c>
      <c r="M44" s="19" t="str">
        <f t="shared" ca="1" si="1"/>
        <v>calibracion</v>
      </c>
      <c r="N44" s="19" t="s">
        <v>362</v>
      </c>
    </row>
    <row r="45" spans="1:14" x14ac:dyDescent="0.25">
      <c r="A45" t="s">
        <v>228</v>
      </c>
      <c r="B45">
        <v>298332</v>
      </c>
      <c r="C45" t="s">
        <v>229</v>
      </c>
      <c r="D45" t="s">
        <v>2</v>
      </c>
      <c r="E45">
        <v>6.07</v>
      </c>
      <c r="F45" s="3" t="s">
        <v>3</v>
      </c>
      <c r="G45" t="s">
        <v>328</v>
      </c>
      <c r="H45" t="s">
        <v>330</v>
      </c>
      <c r="I45" t="s">
        <v>329</v>
      </c>
      <c r="K45" s="19">
        <f t="shared" si="2"/>
        <v>298332</v>
      </c>
      <c r="L45" s="19">
        <f t="shared" ca="1" si="0"/>
        <v>6</v>
      </c>
      <c r="M45" s="19" t="str">
        <f t="shared" ca="1" si="1"/>
        <v>calibracion</v>
      </c>
      <c r="N45" s="19" t="s">
        <v>362</v>
      </c>
    </row>
    <row r="46" spans="1:14" x14ac:dyDescent="0.25">
      <c r="A46" t="s">
        <v>230</v>
      </c>
      <c r="B46">
        <v>298333</v>
      </c>
      <c r="C46" t="s">
        <v>231</v>
      </c>
      <c r="D46" t="s">
        <v>2</v>
      </c>
      <c r="E46">
        <v>6.08</v>
      </c>
      <c r="F46" s="3" t="s">
        <v>3</v>
      </c>
      <c r="G46" t="s">
        <v>328</v>
      </c>
      <c r="H46" t="s">
        <v>330</v>
      </c>
      <c r="I46" t="s">
        <v>329</v>
      </c>
      <c r="K46" s="19">
        <f t="shared" si="2"/>
        <v>298333</v>
      </c>
      <c r="L46" s="19">
        <f t="shared" ca="1" si="0"/>
        <v>8</v>
      </c>
      <c r="M46" s="19" t="str">
        <f t="shared" ca="1" si="1"/>
        <v>validacion</v>
      </c>
      <c r="N46" s="19" t="s">
        <v>361</v>
      </c>
    </row>
    <row r="47" spans="1:14" x14ac:dyDescent="0.25">
      <c r="A47" t="s">
        <v>20</v>
      </c>
      <c r="B47">
        <v>795332</v>
      </c>
      <c r="C47" t="s">
        <v>21</v>
      </c>
      <c r="D47" t="s">
        <v>2</v>
      </c>
      <c r="E47">
        <v>6.11</v>
      </c>
      <c r="F47" s="3" t="s">
        <v>3</v>
      </c>
      <c r="G47" t="s">
        <v>328</v>
      </c>
      <c r="H47" t="s">
        <v>330</v>
      </c>
      <c r="I47" t="s">
        <v>329</v>
      </c>
      <c r="K47" s="19">
        <f t="shared" si="2"/>
        <v>795332</v>
      </c>
      <c r="L47" s="19">
        <f t="shared" ca="1" si="0"/>
        <v>7</v>
      </c>
      <c r="M47" s="19" t="str">
        <f t="shared" ca="1" si="1"/>
        <v>calibracion</v>
      </c>
      <c r="N47" s="19" t="s">
        <v>362</v>
      </c>
    </row>
    <row r="48" spans="1:14" x14ac:dyDescent="0.25">
      <c r="A48" t="s">
        <v>30</v>
      </c>
      <c r="B48">
        <v>171311</v>
      </c>
      <c r="C48" t="s">
        <v>31</v>
      </c>
      <c r="D48" t="s">
        <v>2</v>
      </c>
      <c r="E48">
        <v>6.14</v>
      </c>
      <c r="F48" s="3" t="s">
        <v>3</v>
      </c>
      <c r="G48" t="s">
        <v>328</v>
      </c>
      <c r="H48" t="s">
        <v>330</v>
      </c>
      <c r="I48" t="s">
        <v>329</v>
      </c>
      <c r="K48" s="19">
        <f t="shared" si="2"/>
        <v>171311</v>
      </c>
      <c r="L48" s="19">
        <f t="shared" ca="1" si="0"/>
        <v>3</v>
      </c>
      <c r="M48" s="19" t="str">
        <f t="shared" ca="1" si="1"/>
        <v>calibracion</v>
      </c>
      <c r="N48" s="19" t="s">
        <v>362</v>
      </c>
    </row>
    <row r="49" spans="1:14" x14ac:dyDescent="0.25">
      <c r="A49" t="s">
        <v>216</v>
      </c>
      <c r="B49">
        <v>511324</v>
      </c>
      <c r="C49" t="s">
        <v>217</v>
      </c>
      <c r="D49" t="s">
        <v>2</v>
      </c>
      <c r="E49">
        <v>6.17</v>
      </c>
      <c r="F49" s="3" t="s">
        <v>3</v>
      </c>
      <c r="G49" t="s">
        <v>328</v>
      </c>
      <c r="H49" t="s">
        <v>330</v>
      </c>
      <c r="I49" t="s">
        <v>329</v>
      </c>
      <c r="K49" s="19">
        <f t="shared" si="2"/>
        <v>511324</v>
      </c>
      <c r="L49" s="19">
        <f t="shared" ca="1" si="0"/>
        <v>1</v>
      </c>
      <c r="M49" s="19" t="str">
        <f t="shared" ca="1" si="1"/>
        <v>calibracion</v>
      </c>
      <c r="N49" s="19" t="s">
        <v>362</v>
      </c>
    </row>
    <row r="50" spans="1:14" x14ac:dyDescent="0.25">
      <c r="A50" t="s">
        <v>284</v>
      </c>
      <c r="B50">
        <v>545332</v>
      </c>
      <c r="C50" t="s">
        <v>285</v>
      </c>
      <c r="D50" t="s">
        <v>2</v>
      </c>
      <c r="E50">
        <v>6.18</v>
      </c>
      <c r="F50" s="3" t="s">
        <v>3</v>
      </c>
      <c r="G50" t="s">
        <v>328</v>
      </c>
      <c r="H50" t="s">
        <v>330</v>
      </c>
      <c r="I50" t="s">
        <v>329</v>
      </c>
      <c r="K50" s="19">
        <f t="shared" si="2"/>
        <v>545332</v>
      </c>
      <c r="L50" s="19">
        <f t="shared" ca="1" si="0"/>
        <v>3</v>
      </c>
      <c r="M50" s="19" t="str">
        <f t="shared" ca="1" si="1"/>
        <v>calibracion</v>
      </c>
      <c r="N50" s="19" t="s">
        <v>362</v>
      </c>
    </row>
    <row r="51" spans="1:14" x14ac:dyDescent="0.25">
      <c r="A51" t="s">
        <v>60</v>
      </c>
      <c r="B51">
        <v>319320</v>
      </c>
      <c r="C51" t="s">
        <v>61</v>
      </c>
      <c r="D51" t="s">
        <v>2</v>
      </c>
      <c r="E51">
        <v>6.19</v>
      </c>
      <c r="F51" s="3" t="s">
        <v>3</v>
      </c>
      <c r="G51" t="s">
        <v>328</v>
      </c>
      <c r="H51" t="s">
        <v>330</v>
      </c>
      <c r="I51" t="s">
        <v>329</v>
      </c>
      <c r="K51" s="19">
        <f t="shared" si="2"/>
        <v>319320</v>
      </c>
      <c r="L51" s="19">
        <f t="shared" ca="1" si="0"/>
        <v>2</v>
      </c>
      <c r="M51" s="19" t="str">
        <f t="shared" ca="1" si="1"/>
        <v>calibracion</v>
      </c>
      <c r="N51" s="19" t="s">
        <v>361</v>
      </c>
    </row>
    <row r="52" spans="1:14" x14ac:dyDescent="0.25">
      <c r="A52" t="s">
        <v>32</v>
      </c>
      <c r="B52">
        <v>164319</v>
      </c>
      <c r="C52" t="s">
        <v>33</v>
      </c>
      <c r="D52" t="s">
        <v>2</v>
      </c>
      <c r="E52">
        <v>6.24</v>
      </c>
      <c r="F52" s="3" t="s">
        <v>3</v>
      </c>
      <c r="G52" t="s">
        <v>328</v>
      </c>
      <c r="H52" t="s">
        <v>330</v>
      </c>
      <c r="I52" t="s">
        <v>329</v>
      </c>
      <c r="K52" s="19">
        <f t="shared" si="2"/>
        <v>164319</v>
      </c>
      <c r="L52" s="19">
        <f t="shared" ca="1" si="0"/>
        <v>8</v>
      </c>
      <c r="M52" s="19" t="str">
        <f t="shared" ca="1" si="1"/>
        <v>validacion</v>
      </c>
      <c r="N52" s="19" t="s">
        <v>362</v>
      </c>
    </row>
    <row r="53" spans="1:14" x14ac:dyDescent="0.25">
      <c r="A53" t="s">
        <v>196</v>
      </c>
      <c r="B53">
        <v>390309</v>
      </c>
      <c r="C53" t="s">
        <v>197</v>
      </c>
      <c r="D53" t="s">
        <v>2</v>
      </c>
      <c r="E53">
        <v>6.24</v>
      </c>
      <c r="F53" s="3" t="s">
        <v>3</v>
      </c>
      <c r="G53" t="s">
        <v>328</v>
      </c>
      <c r="H53" t="s">
        <v>330</v>
      </c>
      <c r="I53" t="s">
        <v>329</v>
      </c>
      <c r="K53" s="19">
        <f t="shared" si="2"/>
        <v>390309</v>
      </c>
      <c r="L53" s="19">
        <f t="shared" ca="1" si="0"/>
        <v>8</v>
      </c>
      <c r="M53" s="19" t="str">
        <f t="shared" ca="1" si="1"/>
        <v>validacion</v>
      </c>
      <c r="N53" s="19" t="s">
        <v>362</v>
      </c>
    </row>
    <row r="54" spans="1:14" x14ac:dyDescent="0.25">
      <c r="A54" t="s">
        <v>202</v>
      </c>
      <c r="B54">
        <v>390330</v>
      </c>
      <c r="C54" t="s">
        <v>203</v>
      </c>
      <c r="D54" t="s">
        <v>2</v>
      </c>
      <c r="E54">
        <v>6.3</v>
      </c>
      <c r="F54" s="3" t="s">
        <v>3</v>
      </c>
      <c r="G54" t="s">
        <v>328</v>
      </c>
      <c r="H54" t="s">
        <v>330</v>
      </c>
      <c r="I54" t="s">
        <v>329</v>
      </c>
      <c r="K54" s="19">
        <f t="shared" si="2"/>
        <v>390330</v>
      </c>
      <c r="L54" s="19">
        <f t="shared" ca="1" si="0"/>
        <v>1</v>
      </c>
      <c r="M54" s="19" t="str">
        <f t="shared" ca="1" si="1"/>
        <v>calibracion</v>
      </c>
      <c r="N54" s="19" t="s">
        <v>362</v>
      </c>
    </row>
    <row r="55" spans="1:14" x14ac:dyDescent="0.25">
      <c r="A55" t="s">
        <v>292</v>
      </c>
      <c r="B55">
        <v>548304</v>
      </c>
      <c r="C55" t="s">
        <v>293</v>
      </c>
      <c r="D55" t="s">
        <v>2</v>
      </c>
      <c r="E55">
        <v>6.32</v>
      </c>
      <c r="F55" s="3" t="s">
        <v>3</v>
      </c>
      <c r="G55" t="s">
        <v>328</v>
      </c>
      <c r="H55" t="s">
        <v>330</v>
      </c>
      <c r="I55" t="s">
        <v>329</v>
      </c>
      <c r="K55" s="19">
        <f t="shared" si="2"/>
        <v>548304</v>
      </c>
      <c r="L55" s="19">
        <f t="shared" ca="1" si="0"/>
        <v>3</v>
      </c>
      <c r="M55" s="19" t="str">
        <f t="shared" ca="1" si="1"/>
        <v>calibracion</v>
      </c>
      <c r="N55" s="19" t="s">
        <v>361</v>
      </c>
    </row>
    <row r="56" spans="1:14" x14ac:dyDescent="0.25">
      <c r="A56" t="s">
        <v>128</v>
      </c>
      <c r="B56">
        <v>337324</v>
      </c>
      <c r="C56" t="s">
        <v>129</v>
      </c>
      <c r="D56" t="s">
        <v>2</v>
      </c>
      <c r="E56">
        <v>6.36</v>
      </c>
      <c r="F56" s="3" t="s">
        <v>3</v>
      </c>
      <c r="G56" t="s">
        <v>328</v>
      </c>
      <c r="H56" t="s">
        <v>330</v>
      </c>
      <c r="I56" t="s">
        <v>335</v>
      </c>
      <c r="K56" s="19">
        <f t="shared" si="2"/>
        <v>337324</v>
      </c>
      <c r="L56" s="19">
        <f t="shared" ca="1" si="0"/>
        <v>10</v>
      </c>
      <c r="M56" s="19" t="str">
        <f t="shared" ca="1" si="1"/>
        <v>validacion</v>
      </c>
      <c r="N56" s="19" t="s">
        <v>362</v>
      </c>
    </row>
    <row r="57" spans="1:14" x14ac:dyDescent="0.25">
      <c r="A57" t="s">
        <v>6</v>
      </c>
      <c r="B57">
        <v>795312</v>
      </c>
      <c r="C57" t="s">
        <v>7</v>
      </c>
      <c r="D57" t="s">
        <v>2</v>
      </c>
      <c r="E57">
        <v>6.43</v>
      </c>
      <c r="F57" s="3" t="s">
        <v>3</v>
      </c>
      <c r="G57" t="s">
        <v>328</v>
      </c>
      <c r="H57" t="s">
        <v>330</v>
      </c>
      <c r="I57" t="s">
        <v>329</v>
      </c>
      <c r="K57" s="19">
        <f t="shared" si="2"/>
        <v>795312</v>
      </c>
      <c r="L57" s="19">
        <f t="shared" ca="1" si="0"/>
        <v>9</v>
      </c>
      <c r="M57" s="19" t="str">
        <f t="shared" ca="1" si="1"/>
        <v>validacion</v>
      </c>
      <c r="N57" s="19" t="s">
        <v>362</v>
      </c>
    </row>
    <row r="58" spans="1:14" x14ac:dyDescent="0.25">
      <c r="A58" t="s">
        <v>114</v>
      </c>
      <c r="B58">
        <v>320336</v>
      </c>
      <c r="C58" t="s">
        <v>115</v>
      </c>
      <c r="D58" t="s">
        <v>2</v>
      </c>
      <c r="E58">
        <v>6.43</v>
      </c>
      <c r="F58" s="3" t="s">
        <v>3</v>
      </c>
      <c r="G58" t="s">
        <v>328</v>
      </c>
      <c r="H58" t="s">
        <v>330</v>
      </c>
      <c r="I58" t="s">
        <v>329</v>
      </c>
      <c r="K58" s="19">
        <f t="shared" si="2"/>
        <v>320336</v>
      </c>
      <c r="L58" s="19">
        <f t="shared" ca="1" si="0"/>
        <v>7</v>
      </c>
      <c r="M58" s="19" t="str">
        <f t="shared" ca="1" si="1"/>
        <v>calibracion</v>
      </c>
      <c r="N58" s="19" t="s">
        <v>362</v>
      </c>
    </row>
    <row r="59" spans="1:14" x14ac:dyDescent="0.25">
      <c r="A59" t="s">
        <v>252</v>
      </c>
      <c r="B59">
        <v>446305</v>
      </c>
      <c r="C59" t="s">
        <v>253</v>
      </c>
      <c r="D59" t="s">
        <v>2</v>
      </c>
      <c r="E59">
        <v>6.46</v>
      </c>
      <c r="F59" s="3" t="s">
        <v>3</v>
      </c>
      <c r="G59" t="s">
        <v>328</v>
      </c>
      <c r="H59" t="s">
        <v>330</v>
      </c>
      <c r="I59" t="s">
        <v>329</v>
      </c>
      <c r="K59" s="19">
        <f t="shared" si="2"/>
        <v>446305</v>
      </c>
      <c r="L59" s="19">
        <f t="shared" ca="1" si="0"/>
        <v>3</v>
      </c>
      <c r="M59" s="19" t="str">
        <f t="shared" ca="1" si="1"/>
        <v>calibracion</v>
      </c>
      <c r="N59" s="19" t="s">
        <v>362</v>
      </c>
    </row>
    <row r="60" spans="1:14" x14ac:dyDescent="0.25">
      <c r="A60" t="s">
        <v>208</v>
      </c>
      <c r="B60">
        <v>509307</v>
      </c>
      <c r="C60" t="s">
        <v>209</v>
      </c>
      <c r="D60" t="s">
        <v>2</v>
      </c>
      <c r="E60">
        <v>6.47</v>
      </c>
      <c r="F60" s="3" t="s">
        <v>3</v>
      </c>
      <c r="G60" t="s">
        <v>328</v>
      </c>
      <c r="H60" t="s">
        <v>330</v>
      </c>
      <c r="I60" t="s">
        <v>329</v>
      </c>
      <c r="K60" s="19">
        <f t="shared" si="2"/>
        <v>509307</v>
      </c>
      <c r="L60" s="19">
        <f t="shared" ca="1" si="0"/>
        <v>4</v>
      </c>
      <c r="M60" s="19" t="str">
        <f t="shared" ca="1" si="1"/>
        <v>calibracion</v>
      </c>
      <c r="N60" s="19" t="s">
        <v>362</v>
      </c>
    </row>
    <row r="61" spans="1:14" x14ac:dyDescent="0.25">
      <c r="A61" t="s">
        <v>16</v>
      </c>
      <c r="B61">
        <v>795326</v>
      </c>
      <c r="C61" t="s">
        <v>17</v>
      </c>
      <c r="D61" t="s">
        <v>2</v>
      </c>
      <c r="E61">
        <v>6.52</v>
      </c>
      <c r="F61" s="3" t="s">
        <v>3</v>
      </c>
      <c r="G61" t="s">
        <v>328</v>
      </c>
      <c r="H61" t="s">
        <v>330</v>
      </c>
      <c r="I61" t="s">
        <v>329</v>
      </c>
      <c r="K61" s="19">
        <f t="shared" si="2"/>
        <v>795326</v>
      </c>
      <c r="L61" s="19">
        <f t="shared" ca="1" si="0"/>
        <v>5</v>
      </c>
      <c r="M61" s="19" t="str">
        <f t="shared" ca="1" si="1"/>
        <v>calibracion</v>
      </c>
      <c r="N61" s="19" t="s">
        <v>362</v>
      </c>
    </row>
    <row r="62" spans="1:14" x14ac:dyDescent="0.25">
      <c r="A62" t="s">
        <v>288</v>
      </c>
      <c r="B62">
        <v>545337</v>
      </c>
      <c r="C62" t="s">
        <v>289</v>
      </c>
      <c r="D62" t="s">
        <v>2</v>
      </c>
      <c r="E62">
        <v>6.52</v>
      </c>
      <c r="F62" s="3" t="s">
        <v>3</v>
      </c>
      <c r="G62" t="s">
        <v>328</v>
      </c>
      <c r="H62" t="s">
        <v>330</v>
      </c>
      <c r="I62" t="s">
        <v>329</v>
      </c>
      <c r="K62" s="19">
        <f t="shared" si="2"/>
        <v>545337</v>
      </c>
      <c r="L62" s="19">
        <f t="shared" ca="1" si="0"/>
        <v>2</v>
      </c>
      <c r="M62" s="19" t="str">
        <f t="shared" ca="1" si="1"/>
        <v>calibracion</v>
      </c>
      <c r="N62" s="19" t="s">
        <v>362</v>
      </c>
    </row>
    <row r="63" spans="1:14" x14ac:dyDescent="0.25">
      <c r="A63" t="s">
        <v>316</v>
      </c>
      <c r="B63">
        <v>780320</v>
      </c>
      <c r="C63" t="s">
        <v>317</v>
      </c>
      <c r="D63" t="s">
        <v>2</v>
      </c>
      <c r="E63">
        <v>6.53</v>
      </c>
      <c r="F63" s="3" t="s">
        <v>3</v>
      </c>
      <c r="G63" t="s">
        <v>328</v>
      </c>
      <c r="H63" t="s">
        <v>330</v>
      </c>
      <c r="I63" t="s">
        <v>329</v>
      </c>
      <c r="K63" s="19">
        <f t="shared" si="2"/>
        <v>780320</v>
      </c>
      <c r="L63" s="19">
        <f t="shared" ca="1" si="0"/>
        <v>4</v>
      </c>
      <c r="M63" s="19" t="str">
        <f t="shared" ca="1" si="1"/>
        <v>calibracion</v>
      </c>
      <c r="N63" s="19" t="s">
        <v>361</v>
      </c>
    </row>
    <row r="64" spans="1:14" x14ac:dyDescent="0.25">
      <c r="A64" t="s">
        <v>170</v>
      </c>
      <c r="B64">
        <v>231329</v>
      </c>
      <c r="C64" t="s">
        <v>171</v>
      </c>
      <c r="D64" t="s">
        <v>2</v>
      </c>
      <c r="E64">
        <v>6.55</v>
      </c>
      <c r="F64" s="3" t="s">
        <v>3</v>
      </c>
      <c r="G64" t="s">
        <v>328</v>
      </c>
      <c r="H64" t="s">
        <v>330</v>
      </c>
      <c r="I64" t="s">
        <v>329</v>
      </c>
      <c r="K64" s="19">
        <f t="shared" si="2"/>
        <v>231329</v>
      </c>
      <c r="L64" s="19">
        <f t="shared" ca="1" si="0"/>
        <v>6</v>
      </c>
      <c r="M64" s="19" t="str">
        <f t="shared" ca="1" si="1"/>
        <v>calibracion</v>
      </c>
      <c r="N64" s="19" t="s">
        <v>362</v>
      </c>
    </row>
    <row r="65" spans="1:14" x14ac:dyDescent="0.25">
      <c r="A65" t="s">
        <v>42</v>
      </c>
      <c r="B65">
        <v>317316</v>
      </c>
      <c r="C65" t="s">
        <v>43</v>
      </c>
      <c r="D65" t="s">
        <v>2</v>
      </c>
      <c r="E65">
        <v>6.62</v>
      </c>
      <c r="F65" s="3" t="s">
        <v>3</v>
      </c>
      <c r="G65" t="s">
        <v>328</v>
      </c>
      <c r="H65" t="s">
        <v>330</v>
      </c>
      <c r="I65" t="s">
        <v>329</v>
      </c>
      <c r="K65" s="19">
        <f t="shared" si="2"/>
        <v>317316</v>
      </c>
      <c r="L65" s="19">
        <f t="shared" ca="1" si="0"/>
        <v>4</v>
      </c>
      <c r="M65" s="19" t="str">
        <f t="shared" ca="1" si="1"/>
        <v>calibracion</v>
      </c>
      <c r="N65" s="19" t="s">
        <v>362</v>
      </c>
    </row>
    <row r="66" spans="1:14" x14ac:dyDescent="0.25">
      <c r="A66" t="s">
        <v>74</v>
      </c>
      <c r="B66">
        <v>319326</v>
      </c>
      <c r="C66" t="s">
        <v>75</v>
      </c>
      <c r="D66" t="s">
        <v>2</v>
      </c>
      <c r="E66">
        <v>6.63</v>
      </c>
      <c r="F66" s="3" t="s">
        <v>3</v>
      </c>
      <c r="G66" t="s">
        <v>328</v>
      </c>
      <c r="H66" t="s">
        <v>330</v>
      </c>
      <c r="I66" t="s">
        <v>329</v>
      </c>
      <c r="K66" s="19">
        <f t="shared" si="2"/>
        <v>319326</v>
      </c>
      <c r="L66" s="19">
        <f t="shared" ref="L66:L129" ca="1" si="3">IF(A66="","",RANDBETWEEN(1,10))</f>
        <v>10</v>
      </c>
      <c r="M66" s="19" t="str">
        <f t="shared" ref="M66:M129" ca="1" si="4">IF(A66="","",IF(L66&lt;8,"calibracion","validacion"))</f>
        <v>validacion</v>
      </c>
      <c r="N66" s="19" t="s">
        <v>362</v>
      </c>
    </row>
    <row r="67" spans="1:14" x14ac:dyDescent="0.25">
      <c r="A67" t="s">
        <v>88</v>
      </c>
      <c r="B67">
        <v>320312</v>
      </c>
      <c r="C67" t="s">
        <v>89</v>
      </c>
      <c r="D67" t="s">
        <v>2</v>
      </c>
      <c r="E67">
        <v>6.71</v>
      </c>
      <c r="F67" s="3" t="s">
        <v>3</v>
      </c>
      <c r="G67" t="s">
        <v>328</v>
      </c>
      <c r="H67" t="s">
        <v>330</v>
      </c>
      <c r="I67" t="s">
        <v>329</v>
      </c>
      <c r="K67" s="19">
        <f t="shared" ref="K67:K130" si="5">IF(C67="","",C67-((TRUNC((C67/1000000),0))*1000000))</f>
        <v>320312</v>
      </c>
      <c r="L67" s="19">
        <f t="shared" ca="1" si="3"/>
        <v>2</v>
      </c>
      <c r="M67" s="19" t="str">
        <f t="shared" ca="1" si="4"/>
        <v>calibracion</v>
      </c>
      <c r="N67" s="19" t="s">
        <v>362</v>
      </c>
    </row>
    <row r="68" spans="1:14" x14ac:dyDescent="0.25">
      <c r="A68" t="s">
        <v>182</v>
      </c>
      <c r="B68">
        <v>231335</v>
      </c>
      <c r="C68" t="s">
        <v>183</v>
      </c>
      <c r="D68" t="s">
        <v>2</v>
      </c>
      <c r="E68">
        <v>6.71</v>
      </c>
      <c r="F68" s="3" t="s">
        <v>3</v>
      </c>
      <c r="G68" t="s">
        <v>328</v>
      </c>
      <c r="H68" t="s">
        <v>330</v>
      </c>
      <c r="I68" t="s">
        <v>329</v>
      </c>
      <c r="K68" s="19">
        <f t="shared" si="5"/>
        <v>231335</v>
      </c>
      <c r="L68" s="19">
        <f t="shared" ca="1" si="3"/>
        <v>2</v>
      </c>
      <c r="M68" s="19" t="str">
        <f t="shared" ca="1" si="4"/>
        <v>calibracion</v>
      </c>
      <c r="N68" s="19" t="s">
        <v>361</v>
      </c>
    </row>
    <row r="69" spans="1:14" x14ac:dyDescent="0.25">
      <c r="A69" t="s">
        <v>18</v>
      </c>
      <c r="B69">
        <v>795331</v>
      </c>
      <c r="C69" t="s">
        <v>19</v>
      </c>
      <c r="D69" t="s">
        <v>2</v>
      </c>
      <c r="E69">
        <v>6.74</v>
      </c>
      <c r="F69" s="3" t="s">
        <v>3</v>
      </c>
      <c r="G69" t="s">
        <v>328</v>
      </c>
      <c r="H69" t="s">
        <v>330</v>
      </c>
      <c r="I69" t="s">
        <v>329</v>
      </c>
      <c r="K69" s="19">
        <f t="shared" si="5"/>
        <v>795331</v>
      </c>
      <c r="L69" s="19">
        <f t="shared" ca="1" si="3"/>
        <v>8</v>
      </c>
      <c r="M69" s="19" t="str">
        <f t="shared" ca="1" si="4"/>
        <v>validacion</v>
      </c>
      <c r="N69" s="19" t="s">
        <v>362</v>
      </c>
    </row>
    <row r="70" spans="1:14" x14ac:dyDescent="0.25">
      <c r="A70" t="s">
        <v>116</v>
      </c>
      <c r="B70">
        <v>320338</v>
      </c>
      <c r="C70" t="s">
        <v>117</v>
      </c>
      <c r="D70" t="s">
        <v>2</v>
      </c>
      <c r="E70">
        <v>6.74</v>
      </c>
      <c r="F70" s="3" t="s">
        <v>3</v>
      </c>
      <c r="G70" t="s">
        <v>328</v>
      </c>
      <c r="H70" t="s">
        <v>330</v>
      </c>
      <c r="I70" t="s">
        <v>329</v>
      </c>
      <c r="K70" s="19">
        <f t="shared" si="5"/>
        <v>320338</v>
      </c>
      <c r="L70" s="19">
        <f t="shared" ca="1" si="3"/>
        <v>1</v>
      </c>
      <c r="M70" s="19" t="str">
        <f t="shared" ca="1" si="4"/>
        <v>calibracion</v>
      </c>
      <c r="N70" s="19" t="s">
        <v>362</v>
      </c>
    </row>
    <row r="71" spans="1:14" x14ac:dyDescent="0.25">
      <c r="A71" t="s">
        <v>24</v>
      </c>
      <c r="B71">
        <v>797312</v>
      </c>
      <c r="C71" t="s">
        <v>25</v>
      </c>
      <c r="D71" t="s">
        <v>2</v>
      </c>
      <c r="E71">
        <v>6.78</v>
      </c>
      <c r="F71" s="3" t="s">
        <v>3</v>
      </c>
      <c r="G71" t="s">
        <v>328</v>
      </c>
      <c r="H71" t="s">
        <v>330</v>
      </c>
      <c r="I71" t="s">
        <v>329</v>
      </c>
      <c r="K71" s="19">
        <f t="shared" si="5"/>
        <v>797312</v>
      </c>
      <c r="L71" s="19">
        <f t="shared" ca="1" si="3"/>
        <v>2</v>
      </c>
      <c r="M71" s="19" t="str">
        <f t="shared" ca="1" si="4"/>
        <v>calibracion</v>
      </c>
      <c r="N71" s="19" t="s">
        <v>362</v>
      </c>
    </row>
    <row r="72" spans="1:14" x14ac:dyDescent="0.25">
      <c r="A72" t="s">
        <v>22</v>
      </c>
      <c r="B72">
        <v>797304</v>
      </c>
      <c r="C72" t="s">
        <v>23</v>
      </c>
      <c r="D72" t="s">
        <v>2</v>
      </c>
      <c r="E72">
        <v>6.81</v>
      </c>
      <c r="F72" s="3" t="s">
        <v>3</v>
      </c>
      <c r="G72" t="s">
        <v>328</v>
      </c>
      <c r="H72" t="s">
        <v>330</v>
      </c>
      <c r="I72" t="s">
        <v>329</v>
      </c>
      <c r="K72" s="19">
        <f t="shared" si="5"/>
        <v>797304</v>
      </c>
      <c r="L72" s="19">
        <f t="shared" ca="1" si="3"/>
        <v>3</v>
      </c>
      <c r="M72" s="19" t="str">
        <f t="shared" ca="1" si="4"/>
        <v>calibracion</v>
      </c>
      <c r="N72" s="19" t="s">
        <v>362</v>
      </c>
    </row>
    <row r="73" spans="1:14" x14ac:dyDescent="0.25">
      <c r="A73" t="s">
        <v>174</v>
      </c>
      <c r="B73">
        <v>231331</v>
      </c>
      <c r="C73" t="s">
        <v>175</v>
      </c>
      <c r="D73" t="s">
        <v>2</v>
      </c>
      <c r="E73">
        <v>6.81</v>
      </c>
      <c r="F73" s="3" t="s">
        <v>3</v>
      </c>
      <c r="G73" t="s">
        <v>328</v>
      </c>
      <c r="H73" t="s">
        <v>330</v>
      </c>
      <c r="I73" t="s">
        <v>329</v>
      </c>
      <c r="K73" s="19">
        <f t="shared" si="5"/>
        <v>231331</v>
      </c>
      <c r="L73" s="19">
        <f t="shared" ca="1" si="3"/>
        <v>4</v>
      </c>
      <c r="M73" s="19" t="str">
        <f t="shared" ca="1" si="4"/>
        <v>calibracion</v>
      </c>
      <c r="N73" s="19" t="s">
        <v>362</v>
      </c>
    </row>
    <row r="74" spans="1:14" x14ac:dyDescent="0.25">
      <c r="A74" t="s">
        <v>310</v>
      </c>
      <c r="B74">
        <v>779307</v>
      </c>
      <c r="C74" t="s">
        <v>311</v>
      </c>
      <c r="D74" t="s">
        <v>2</v>
      </c>
      <c r="E74">
        <v>6.82</v>
      </c>
      <c r="F74" s="3" t="s">
        <v>3</v>
      </c>
      <c r="G74" t="s">
        <v>328</v>
      </c>
      <c r="H74" t="s">
        <v>330</v>
      </c>
      <c r="I74" t="s">
        <v>329</v>
      </c>
      <c r="K74" s="19">
        <f t="shared" si="5"/>
        <v>779307</v>
      </c>
      <c r="L74" s="19">
        <f t="shared" ca="1" si="3"/>
        <v>3</v>
      </c>
      <c r="M74" s="19" t="str">
        <f t="shared" ca="1" si="4"/>
        <v>calibracion</v>
      </c>
      <c r="N74" s="19" t="s">
        <v>362</v>
      </c>
    </row>
    <row r="75" spans="1:14" x14ac:dyDescent="0.25">
      <c r="A75" t="s">
        <v>266</v>
      </c>
      <c r="B75">
        <v>545313</v>
      </c>
      <c r="C75" t="s">
        <v>267</v>
      </c>
      <c r="D75" t="s">
        <v>2</v>
      </c>
      <c r="E75">
        <v>6.87</v>
      </c>
      <c r="F75" s="3" t="s">
        <v>3</v>
      </c>
      <c r="G75" t="s">
        <v>328</v>
      </c>
      <c r="H75" t="s">
        <v>330</v>
      </c>
      <c r="I75" t="s">
        <v>329</v>
      </c>
      <c r="K75" s="19">
        <f t="shared" si="5"/>
        <v>545313</v>
      </c>
      <c r="L75" s="19">
        <f t="shared" ca="1" si="3"/>
        <v>7</v>
      </c>
      <c r="M75" s="19" t="str">
        <f t="shared" ca="1" si="4"/>
        <v>calibracion</v>
      </c>
      <c r="N75" s="19" t="s">
        <v>362</v>
      </c>
    </row>
    <row r="76" spans="1:14" x14ac:dyDescent="0.25">
      <c r="A76" t="s">
        <v>64</v>
      </c>
      <c r="B76">
        <v>319314</v>
      </c>
      <c r="C76" t="s">
        <v>65</v>
      </c>
      <c r="D76" t="s">
        <v>2</v>
      </c>
      <c r="E76">
        <v>6.9</v>
      </c>
      <c r="F76" s="3" t="s">
        <v>3</v>
      </c>
      <c r="G76" t="s">
        <v>328</v>
      </c>
      <c r="H76" t="s">
        <v>330</v>
      </c>
      <c r="I76" t="s">
        <v>329</v>
      </c>
      <c r="K76" s="19">
        <f t="shared" si="5"/>
        <v>319314</v>
      </c>
      <c r="L76" s="19">
        <f t="shared" ca="1" si="3"/>
        <v>5</v>
      </c>
      <c r="M76" s="19" t="str">
        <f t="shared" ca="1" si="4"/>
        <v>calibracion</v>
      </c>
      <c r="N76" s="19" t="s">
        <v>361</v>
      </c>
    </row>
    <row r="77" spans="1:14" x14ac:dyDescent="0.25">
      <c r="A77" t="s">
        <v>156</v>
      </c>
      <c r="B77">
        <v>231301</v>
      </c>
      <c r="C77" t="s">
        <v>157</v>
      </c>
      <c r="D77" t="s">
        <v>2</v>
      </c>
      <c r="E77">
        <v>6.92</v>
      </c>
      <c r="F77" s="3" t="s">
        <v>3</v>
      </c>
      <c r="G77" t="s">
        <v>328</v>
      </c>
      <c r="H77" t="s">
        <v>330</v>
      </c>
      <c r="I77" t="s">
        <v>329</v>
      </c>
      <c r="K77" s="19">
        <f t="shared" si="5"/>
        <v>231301</v>
      </c>
      <c r="L77" s="19">
        <f t="shared" ca="1" si="3"/>
        <v>10</v>
      </c>
      <c r="M77" s="19" t="str">
        <f t="shared" ca="1" si="4"/>
        <v>validacion</v>
      </c>
      <c r="N77" s="19" t="s">
        <v>362</v>
      </c>
    </row>
    <row r="78" spans="1:14" x14ac:dyDescent="0.25">
      <c r="A78" t="s">
        <v>122</v>
      </c>
      <c r="B78">
        <v>337307</v>
      </c>
      <c r="C78" t="s">
        <v>123</v>
      </c>
      <c r="D78" t="s">
        <v>2</v>
      </c>
      <c r="E78">
        <v>6.96</v>
      </c>
      <c r="F78" s="3" t="s">
        <v>3</v>
      </c>
      <c r="G78" t="s">
        <v>328</v>
      </c>
      <c r="H78" t="s">
        <v>330</v>
      </c>
      <c r="I78" t="s">
        <v>333</v>
      </c>
      <c r="K78" s="19">
        <f t="shared" si="5"/>
        <v>337307</v>
      </c>
      <c r="L78" s="19">
        <f t="shared" ca="1" si="3"/>
        <v>6</v>
      </c>
      <c r="M78" s="19" t="str">
        <f t="shared" ca="1" si="4"/>
        <v>calibracion</v>
      </c>
      <c r="N78" s="19" t="s">
        <v>362</v>
      </c>
    </row>
    <row r="79" spans="1:14" x14ac:dyDescent="0.25">
      <c r="A79" t="s">
        <v>294</v>
      </c>
      <c r="B79">
        <v>548306</v>
      </c>
      <c r="C79" t="s">
        <v>295</v>
      </c>
      <c r="D79" t="s">
        <v>2</v>
      </c>
      <c r="E79">
        <v>7.05</v>
      </c>
      <c r="F79" s="3" t="s">
        <v>3</v>
      </c>
      <c r="G79" t="s">
        <v>328</v>
      </c>
      <c r="H79" t="s">
        <v>330</v>
      </c>
      <c r="I79" t="s">
        <v>329</v>
      </c>
      <c r="K79" s="19">
        <f t="shared" si="5"/>
        <v>548306</v>
      </c>
      <c r="L79" s="19">
        <f t="shared" ca="1" si="3"/>
        <v>8</v>
      </c>
      <c r="M79" s="19" t="str">
        <f t="shared" ca="1" si="4"/>
        <v>validacion</v>
      </c>
      <c r="N79" s="19" t="s">
        <v>362</v>
      </c>
    </row>
    <row r="80" spans="1:14" x14ac:dyDescent="0.25">
      <c r="A80" t="s">
        <v>302</v>
      </c>
      <c r="B80">
        <v>548325</v>
      </c>
      <c r="C80" t="s">
        <v>303</v>
      </c>
      <c r="D80" t="s">
        <v>2</v>
      </c>
      <c r="E80">
        <v>7.06</v>
      </c>
      <c r="F80" s="3" t="s">
        <v>3</v>
      </c>
      <c r="G80" t="s">
        <v>328</v>
      </c>
      <c r="H80" t="s">
        <v>330</v>
      </c>
      <c r="I80" t="s">
        <v>329</v>
      </c>
      <c r="K80" s="19">
        <f t="shared" si="5"/>
        <v>548325</v>
      </c>
      <c r="L80" s="19">
        <f t="shared" ca="1" si="3"/>
        <v>9</v>
      </c>
      <c r="M80" s="19" t="str">
        <f t="shared" ca="1" si="4"/>
        <v>validacion</v>
      </c>
      <c r="N80" s="19" t="s">
        <v>361</v>
      </c>
    </row>
    <row r="81" spans="1:14" x14ac:dyDescent="0.25">
      <c r="A81" t="s">
        <v>90</v>
      </c>
      <c r="B81">
        <v>320306</v>
      </c>
      <c r="C81" t="s">
        <v>91</v>
      </c>
      <c r="D81" t="s">
        <v>2</v>
      </c>
      <c r="E81">
        <v>7.08</v>
      </c>
      <c r="F81" s="3" t="s">
        <v>3</v>
      </c>
      <c r="G81" t="s">
        <v>328</v>
      </c>
      <c r="H81" t="s">
        <v>330</v>
      </c>
      <c r="I81" t="s">
        <v>329</v>
      </c>
      <c r="K81" s="19">
        <f t="shared" si="5"/>
        <v>320306</v>
      </c>
      <c r="L81" s="19">
        <f t="shared" ca="1" si="3"/>
        <v>6</v>
      </c>
      <c r="M81" s="19" t="str">
        <f t="shared" ca="1" si="4"/>
        <v>calibracion</v>
      </c>
      <c r="N81" s="19" t="s">
        <v>362</v>
      </c>
    </row>
    <row r="82" spans="1:14" x14ac:dyDescent="0.25">
      <c r="A82" t="s">
        <v>314</v>
      </c>
      <c r="B82">
        <v>780319</v>
      </c>
      <c r="C82" t="s">
        <v>315</v>
      </c>
      <c r="D82" t="s">
        <v>2</v>
      </c>
      <c r="E82">
        <v>7.12</v>
      </c>
      <c r="F82" s="3" t="s">
        <v>3</v>
      </c>
      <c r="G82" t="s">
        <v>328</v>
      </c>
      <c r="H82" t="s">
        <v>330</v>
      </c>
      <c r="I82" t="s">
        <v>329</v>
      </c>
      <c r="K82" s="19">
        <f t="shared" si="5"/>
        <v>780319</v>
      </c>
      <c r="L82" s="19">
        <f t="shared" ca="1" si="3"/>
        <v>7</v>
      </c>
      <c r="M82" s="19" t="str">
        <f t="shared" ca="1" si="4"/>
        <v>calibracion</v>
      </c>
      <c r="N82" s="19" t="s">
        <v>362</v>
      </c>
    </row>
    <row r="83" spans="1:14" x14ac:dyDescent="0.25">
      <c r="A83" t="s">
        <v>274</v>
      </c>
      <c r="B83">
        <v>545321</v>
      </c>
      <c r="C83" t="s">
        <v>275</v>
      </c>
      <c r="D83" t="s">
        <v>2</v>
      </c>
      <c r="E83">
        <v>7.16</v>
      </c>
      <c r="F83" s="3" t="s">
        <v>3</v>
      </c>
      <c r="G83" t="s">
        <v>328</v>
      </c>
      <c r="H83" t="s">
        <v>330</v>
      </c>
      <c r="I83" t="s">
        <v>329</v>
      </c>
      <c r="K83" s="19">
        <f t="shared" si="5"/>
        <v>545321</v>
      </c>
      <c r="L83" s="19">
        <f t="shared" ca="1" si="3"/>
        <v>4</v>
      </c>
      <c r="M83" s="19" t="str">
        <f t="shared" ca="1" si="4"/>
        <v>calibracion</v>
      </c>
      <c r="N83" s="19" t="s">
        <v>361</v>
      </c>
    </row>
    <row r="84" spans="1:14" x14ac:dyDescent="0.25">
      <c r="A84" t="s">
        <v>272</v>
      </c>
      <c r="B84">
        <v>545319</v>
      </c>
      <c r="C84" t="s">
        <v>273</v>
      </c>
      <c r="D84" t="s">
        <v>2</v>
      </c>
      <c r="E84">
        <v>7.24</v>
      </c>
      <c r="F84" s="3" t="s">
        <v>3</v>
      </c>
      <c r="G84" t="s">
        <v>328</v>
      </c>
      <c r="H84" t="s">
        <v>330</v>
      </c>
      <c r="I84" t="s">
        <v>329</v>
      </c>
      <c r="K84" s="19">
        <f t="shared" si="5"/>
        <v>545319</v>
      </c>
      <c r="L84" s="19">
        <f t="shared" ca="1" si="3"/>
        <v>6</v>
      </c>
      <c r="M84" s="19" t="str">
        <f t="shared" ca="1" si="4"/>
        <v>calibracion</v>
      </c>
      <c r="N84" s="19" t="s">
        <v>361</v>
      </c>
    </row>
    <row r="85" spans="1:14" x14ac:dyDescent="0.25">
      <c r="A85" t="s">
        <v>136</v>
      </c>
      <c r="B85">
        <v>590308</v>
      </c>
      <c r="C85" t="s">
        <v>137</v>
      </c>
      <c r="D85" t="s">
        <v>2</v>
      </c>
      <c r="E85">
        <v>7.34</v>
      </c>
      <c r="F85" s="3" t="s">
        <v>3</v>
      </c>
      <c r="G85" t="s">
        <v>328</v>
      </c>
      <c r="H85" t="s">
        <v>330</v>
      </c>
      <c r="I85" t="s">
        <v>329</v>
      </c>
      <c r="K85" s="19">
        <f t="shared" si="5"/>
        <v>590308</v>
      </c>
      <c r="L85" s="19">
        <f t="shared" ca="1" si="3"/>
        <v>7</v>
      </c>
      <c r="M85" s="19" t="str">
        <f t="shared" ca="1" si="4"/>
        <v>calibracion</v>
      </c>
      <c r="N85" s="19" t="s">
        <v>361</v>
      </c>
    </row>
    <row r="86" spans="1:14" x14ac:dyDescent="0.25">
      <c r="A86" t="s">
        <v>308</v>
      </c>
      <c r="B86">
        <v>779306</v>
      </c>
      <c r="C86" t="s">
        <v>309</v>
      </c>
      <c r="D86" t="s">
        <v>2</v>
      </c>
      <c r="E86">
        <v>7.39</v>
      </c>
      <c r="F86" s="3" t="s">
        <v>3</v>
      </c>
      <c r="G86" t="s">
        <v>328</v>
      </c>
      <c r="H86" t="s">
        <v>330</v>
      </c>
      <c r="I86" t="s">
        <v>329</v>
      </c>
      <c r="K86" s="19">
        <f t="shared" si="5"/>
        <v>779306</v>
      </c>
      <c r="L86" s="19">
        <f t="shared" ca="1" si="3"/>
        <v>8</v>
      </c>
      <c r="M86" s="19" t="str">
        <f t="shared" ca="1" si="4"/>
        <v>validacion</v>
      </c>
      <c r="N86" s="19" t="s">
        <v>362</v>
      </c>
    </row>
    <row r="87" spans="1:14" x14ac:dyDescent="0.25">
      <c r="A87" t="s">
        <v>148</v>
      </c>
      <c r="B87">
        <v>590318</v>
      </c>
      <c r="C87" t="s">
        <v>149</v>
      </c>
      <c r="D87" t="s">
        <v>2</v>
      </c>
      <c r="E87">
        <v>7.41</v>
      </c>
      <c r="F87" s="3" t="s">
        <v>3</v>
      </c>
      <c r="G87" t="s">
        <v>328</v>
      </c>
      <c r="H87" t="s">
        <v>330</v>
      </c>
      <c r="I87" t="s">
        <v>329</v>
      </c>
      <c r="K87" s="19">
        <f t="shared" si="5"/>
        <v>590318</v>
      </c>
      <c r="L87" s="19">
        <f t="shared" ca="1" si="3"/>
        <v>8</v>
      </c>
      <c r="M87" s="19" t="str">
        <f t="shared" ca="1" si="4"/>
        <v>validacion</v>
      </c>
      <c r="N87" s="19" t="s">
        <v>362</v>
      </c>
    </row>
    <row r="88" spans="1:14" x14ac:dyDescent="0.25">
      <c r="A88" t="s">
        <v>160</v>
      </c>
      <c r="B88">
        <v>231304</v>
      </c>
      <c r="C88" t="s">
        <v>161</v>
      </c>
      <c r="D88" t="s">
        <v>2</v>
      </c>
      <c r="E88">
        <v>7.42</v>
      </c>
      <c r="F88" s="3" t="s">
        <v>3</v>
      </c>
      <c r="G88" t="s">
        <v>328</v>
      </c>
      <c r="H88" t="s">
        <v>330</v>
      </c>
      <c r="I88" t="s">
        <v>329</v>
      </c>
      <c r="K88" s="19">
        <f t="shared" si="5"/>
        <v>231304</v>
      </c>
      <c r="L88" s="19">
        <f t="shared" ca="1" si="3"/>
        <v>1</v>
      </c>
      <c r="M88" s="19" t="str">
        <f t="shared" ca="1" si="4"/>
        <v>calibracion</v>
      </c>
      <c r="N88" s="19" t="s">
        <v>362</v>
      </c>
    </row>
    <row r="89" spans="1:14" x14ac:dyDescent="0.25">
      <c r="A89" t="s">
        <v>260</v>
      </c>
      <c r="B89">
        <v>545305</v>
      </c>
      <c r="C89" t="s">
        <v>261</v>
      </c>
      <c r="D89" t="s">
        <v>2</v>
      </c>
      <c r="E89">
        <v>7.46</v>
      </c>
      <c r="F89" s="3" t="s">
        <v>3</v>
      </c>
      <c r="G89" t="s">
        <v>328</v>
      </c>
      <c r="H89" t="s">
        <v>330</v>
      </c>
      <c r="I89" t="s">
        <v>329</v>
      </c>
      <c r="K89" s="19">
        <f t="shared" si="5"/>
        <v>545305</v>
      </c>
      <c r="L89" s="19">
        <f t="shared" ca="1" si="3"/>
        <v>7</v>
      </c>
      <c r="M89" s="19" t="str">
        <f t="shared" ca="1" si="4"/>
        <v>calibracion</v>
      </c>
      <c r="N89" s="19" t="s">
        <v>361</v>
      </c>
    </row>
    <row r="90" spans="1:14" x14ac:dyDescent="0.25">
      <c r="A90" t="s">
        <v>168</v>
      </c>
      <c r="B90">
        <v>230339</v>
      </c>
      <c r="C90" t="s">
        <v>169</v>
      </c>
      <c r="D90" t="s">
        <v>2</v>
      </c>
      <c r="E90">
        <v>7.49</v>
      </c>
      <c r="F90" s="3" t="s">
        <v>3</v>
      </c>
      <c r="G90" t="s">
        <v>328</v>
      </c>
      <c r="H90" t="s">
        <v>330</v>
      </c>
      <c r="I90" t="s">
        <v>329</v>
      </c>
      <c r="K90" s="19">
        <f t="shared" si="5"/>
        <v>230339</v>
      </c>
      <c r="L90" s="19">
        <f t="shared" ca="1" si="3"/>
        <v>6</v>
      </c>
      <c r="M90" s="19" t="str">
        <f t="shared" ca="1" si="4"/>
        <v>calibracion</v>
      </c>
      <c r="N90" s="19" t="s">
        <v>361</v>
      </c>
    </row>
    <row r="91" spans="1:14" x14ac:dyDescent="0.25">
      <c r="A91" t="s">
        <v>286</v>
      </c>
      <c r="B91">
        <v>545335</v>
      </c>
      <c r="C91" t="s">
        <v>287</v>
      </c>
      <c r="D91" t="s">
        <v>2</v>
      </c>
      <c r="E91">
        <v>7.49</v>
      </c>
      <c r="F91" s="3" t="s">
        <v>3</v>
      </c>
      <c r="G91" t="s">
        <v>328</v>
      </c>
      <c r="H91" t="s">
        <v>330</v>
      </c>
      <c r="I91" t="s">
        <v>329</v>
      </c>
      <c r="K91" s="19">
        <f t="shared" si="5"/>
        <v>545335</v>
      </c>
      <c r="L91" s="19">
        <f t="shared" ca="1" si="3"/>
        <v>9</v>
      </c>
      <c r="M91" s="19" t="str">
        <f t="shared" ca="1" si="4"/>
        <v>validacion</v>
      </c>
      <c r="N91" s="19" t="s">
        <v>362</v>
      </c>
    </row>
    <row r="92" spans="1:14" x14ac:dyDescent="0.25">
      <c r="A92" t="s">
        <v>306</v>
      </c>
      <c r="B92">
        <v>779302</v>
      </c>
      <c r="C92" t="s">
        <v>307</v>
      </c>
      <c r="D92" t="s">
        <v>2</v>
      </c>
      <c r="E92">
        <v>7.49</v>
      </c>
      <c r="F92" s="3" t="s">
        <v>3</v>
      </c>
      <c r="G92" t="s">
        <v>328</v>
      </c>
      <c r="H92" t="s">
        <v>330</v>
      </c>
      <c r="I92" t="s">
        <v>329</v>
      </c>
      <c r="K92" s="19">
        <f t="shared" si="5"/>
        <v>779302</v>
      </c>
      <c r="L92" s="19">
        <f t="shared" ca="1" si="3"/>
        <v>8</v>
      </c>
      <c r="M92" s="19" t="str">
        <f t="shared" ca="1" si="4"/>
        <v>validacion</v>
      </c>
      <c r="N92" s="19" t="s">
        <v>362</v>
      </c>
    </row>
    <row r="93" spans="1:14" x14ac:dyDescent="0.25">
      <c r="A93" t="s">
        <v>86</v>
      </c>
      <c r="B93">
        <v>320304</v>
      </c>
      <c r="C93" t="s">
        <v>87</v>
      </c>
      <c r="D93" t="s">
        <v>2</v>
      </c>
      <c r="E93">
        <v>7.5</v>
      </c>
      <c r="F93" s="3" t="s">
        <v>3</v>
      </c>
      <c r="G93" t="s">
        <v>328</v>
      </c>
      <c r="H93" t="s">
        <v>330</v>
      </c>
      <c r="I93" t="s">
        <v>329</v>
      </c>
      <c r="K93" s="19">
        <f t="shared" si="5"/>
        <v>320304</v>
      </c>
      <c r="L93" s="19">
        <f t="shared" ca="1" si="3"/>
        <v>6</v>
      </c>
      <c r="M93" s="19" t="str">
        <f t="shared" ca="1" si="4"/>
        <v>calibracion</v>
      </c>
      <c r="N93" s="19" t="s">
        <v>362</v>
      </c>
    </row>
    <row r="94" spans="1:14" x14ac:dyDescent="0.25">
      <c r="A94" t="s">
        <v>150</v>
      </c>
      <c r="B94">
        <v>590323</v>
      </c>
      <c r="C94" t="s">
        <v>151</v>
      </c>
      <c r="D94" t="s">
        <v>2</v>
      </c>
      <c r="E94">
        <v>7.51</v>
      </c>
      <c r="F94" s="3" t="s">
        <v>3</v>
      </c>
      <c r="G94" t="s">
        <v>328</v>
      </c>
      <c r="H94" t="s">
        <v>330</v>
      </c>
      <c r="I94" t="s">
        <v>329</v>
      </c>
      <c r="K94" s="19">
        <f t="shared" si="5"/>
        <v>590323</v>
      </c>
      <c r="L94" s="19">
        <f t="shared" ca="1" si="3"/>
        <v>9</v>
      </c>
      <c r="M94" s="19" t="str">
        <f t="shared" ca="1" si="4"/>
        <v>validacion</v>
      </c>
      <c r="N94" s="19" t="s">
        <v>362</v>
      </c>
    </row>
    <row r="95" spans="1:14" x14ac:dyDescent="0.25">
      <c r="A95" t="s">
        <v>140</v>
      </c>
      <c r="B95">
        <v>590310</v>
      </c>
      <c r="C95" t="s">
        <v>141</v>
      </c>
      <c r="D95" t="s">
        <v>2</v>
      </c>
      <c r="E95">
        <v>7.56</v>
      </c>
      <c r="F95" s="3" t="s">
        <v>3</v>
      </c>
      <c r="G95" t="s">
        <v>328</v>
      </c>
      <c r="H95" t="s">
        <v>330</v>
      </c>
      <c r="I95" t="s">
        <v>329</v>
      </c>
      <c r="K95" s="19">
        <f t="shared" si="5"/>
        <v>590310</v>
      </c>
      <c r="L95" s="19">
        <f t="shared" ca="1" si="3"/>
        <v>2</v>
      </c>
      <c r="M95" s="19" t="str">
        <f t="shared" ca="1" si="4"/>
        <v>calibracion</v>
      </c>
      <c r="N95" s="19" t="s">
        <v>362</v>
      </c>
    </row>
    <row r="96" spans="1:14" x14ac:dyDescent="0.25">
      <c r="A96" t="s">
        <v>76</v>
      </c>
      <c r="B96">
        <v>319336</v>
      </c>
      <c r="C96" t="s">
        <v>77</v>
      </c>
      <c r="D96" t="s">
        <v>2</v>
      </c>
      <c r="E96">
        <v>7.59</v>
      </c>
      <c r="F96" s="3" t="s">
        <v>3</v>
      </c>
      <c r="G96" t="s">
        <v>328</v>
      </c>
      <c r="H96" t="s">
        <v>330</v>
      </c>
      <c r="I96" t="s">
        <v>329</v>
      </c>
      <c r="K96" s="19">
        <f t="shared" si="5"/>
        <v>319336</v>
      </c>
      <c r="L96" s="19">
        <f t="shared" ca="1" si="3"/>
        <v>2</v>
      </c>
      <c r="M96" s="19" t="str">
        <f t="shared" ca="1" si="4"/>
        <v>calibracion</v>
      </c>
      <c r="N96" s="19" t="s">
        <v>361</v>
      </c>
    </row>
    <row r="97" spans="1:14" x14ac:dyDescent="0.25">
      <c r="A97" t="s">
        <v>154</v>
      </c>
      <c r="B97">
        <v>590325</v>
      </c>
      <c r="C97" t="s">
        <v>155</v>
      </c>
      <c r="D97" t="s">
        <v>2</v>
      </c>
      <c r="E97">
        <v>7.63</v>
      </c>
      <c r="F97" s="3" t="s">
        <v>3</v>
      </c>
      <c r="G97" t="s">
        <v>328</v>
      </c>
      <c r="H97" t="s">
        <v>330</v>
      </c>
      <c r="I97" t="s">
        <v>329</v>
      </c>
      <c r="K97" s="19">
        <f t="shared" si="5"/>
        <v>590325</v>
      </c>
      <c r="L97" s="19">
        <f t="shared" ca="1" si="3"/>
        <v>6</v>
      </c>
      <c r="M97" s="19" t="str">
        <f t="shared" ca="1" si="4"/>
        <v>calibracion</v>
      </c>
      <c r="N97" s="19" t="s">
        <v>362</v>
      </c>
    </row>
    <row r="98" spans="1:14" x14ac:dyDescent="0.25">
      <c r="A98" t="s">
        <v>130</v>
      </c>
      <c r="B98">
        <v>337332</v>
      </c>
      <c r="C98" t="s">
        <v>131</v>
      </c>
      <c r="D98" t="s">
        <v>2</v>
      </c>
      <c r="E98">
        <v>7.68</v>
      </c>
      <c r="F98" s="3" t="s">
        <v>3</v>
      </c>
      <c r="G98" t="s">
        <v>328</v>
      </c>
      <c r="H98" t="s">
        <v>330</v>
      </c>
      <c r="I98" t="s">
        <v>329</v>
      </c>
      <c r="K98" s="19">
        <f t="shared" si="5"/>
        <v>337332</v>
      </c>
      <c r="L98" s="19">
        <f t="shared" ca="1" si="3"/>
        <v>7</v>
      </c>
      <c r="M98" s="19" t="str">
        <f t="shared" ca="1" si="4"/>
        <v>calibracion</v>
      </c>
      <c r="N98" s="19" t="s">
        <v>361</v>
      </c>
    </row>
    <row r="99" spans="1:14" x14ac:dyDescent="0.25">
      <c r="A99" t="s">
        <v>268</v>
      </c>
      <c r="B99">
        <v>545314</v>
      </c>
      <c r="C99" t="s">
        <v>269</v>
      </c>
      <c r="D99" t="s">
        <v>2</v>
      </c>
      <c r="E99">
        <v>7.79</v>
      </c>
      <c r="F99" s="3" t="s">
        <v>3</v>
      </c>
      <c r="G99" t="s">
        <v>328</v>
      </c>
      <c r="H99" t="s">
        <v>330</v>
      </c>
      <c r="I99" t="s">
        <v>329</v>
      </c>
      <c r="K99" s="19">
        <f t="shared" si="5"/>
        <v>545314</v>
      </c>
      <c r="L99" s="19">
        <f t="shared" ca="1" si="3"/>
        <v>2</v>
      </c>
      <c r="M99" s="19" t="str">
        <f t="shared" ca="1" si="4"/>
        <v>calibracion</v>
      </c>
      <c r="N99" s="19" t="s">
        <v>361</v>
      </c>
    </row>
    <row r="100" spans="1:14" x14ac:dyDescent="0.25">
      <c r="A100" t="s">
        <v>112</v>
      </c>
      <c r="B100">
        <v>320334</v>
      </c>
      <c r="C100" t="s">
        <v>113</v>
      </c>
      <c r="D100" t="s">
        <v>2</v>
      </c>
      <c r="E100">
        <v>7.81</v>
      </c>
      <c r="F100" s="3" t="s">
        <v>3</v>
      </c>
      <c r="G100" t="s">
        <v>328</v>
      </c>
      <c r="H100" t="s">
        <v>330</v>
      </c>
      <c r="I100" t="s">
        <v>329</v>
      </c>
      <c r="K100" s="19">
        <f t="shared" si="5"/>
        <v>320334</v>
      </c>
      <c r="L100" s="19">
        <f t="shared" ca="1" si="3"/>
        <v>6</v>
      </c>
      <c r="M100" s="19" t="str">
        <f t="shared" ca="1" si="4"/>
        <v>calibracion</v>
      </c>
      <c r="N100" s="19" t="s">
        <v>362</v>
      </c>
    </row>
    <row r="101" spans="1:14" x14ac:dyDescent="0.25">
      <c r="A101" t="s">
        <v>264</v>
      </c>
      <c r="B101">
        <v>545308</v>
      </c>
      <c r="C101" t="s">
        <v>265</v>
      </c>
      <c r="D101" t="s">
        <v>2</v>
      </c>
      <c r="E101">
        <v>7.81</v>
      </c>
      <c r="F101" s="3" t="s">
        <v>3</v>
      </c>
      <c r="G101" t="s">
        <v>328</v>
      </c>
      <c r="H101" t="s">
        <v>330</v>
      </c>
      <c r="I101" t="s">
        <v>329</v>
      </c>
      <c r="K101" s="19">
        <f t="shared" si="5"/>
        <v>545308</v>
      </c>
      <c r="L101" s="19">
        <f t="shared" ca="1" si="3"/>
        <v>7</v>
      </c>
      <c r="M101" s="19" t="str">
        <f t="shared" ca="1" si="4"/>
        <v>calibracion</v>
      </c>
      <c r="N101" s="19" t="s">
        <v>362</v>
      </c>
    </row>
    <row r="102" spans="1:14" x14ac:dyDescent="0.25">
      <c r="A102" t="s">
        <v>106</v>
      </c>
      <c r="B102">
        <v>320326</v>
      </c>
      <c r="C102" t="s">
        <v>107</v>
      </c>
      <c r="D102" t="s">
        <v>2</v>
      </c>
      <c r="E102">
        <v>7.87</v>
      </c>
      <c r="F102" s="3" t="s">
        <v>3</v>
      </c>
      <c r="G102" t="s">
        <v>328</v>
      </c>
      <c r="H102" t="s">
        <v>330</v>
      </c>
      <c r="I102" t="s">
        <v>329</v>
      </c>
      <c r="K102" s="19">
        <f t="shared" si="5"/>
        <v>320326</v>
      </c>
      <c r="L102" s="19">
        <f t="shared" ca="1" si="3"/>
        <v>2</v>
      </c>
      <c r="M102" s="19" t="str">
        <f t="shared" ca="1" si="4"/>
        <v>calibracion</v>
      </c>
      <c r="N102" s="19" t="s">
        <v>362</v>
      </c>
    </row>
    <row r="103" spans="1:14" x14ac:dyDescent="0.25">
      <c r="A103" t="s">
        <v>212</v>
      </c>
      <c r="B103">
        <v>509313</v>
      </c>
      <c r="C103" t="s">
        <v>213</v>
      </c>
      <c r="D103" t="s">
        <v>2</v>
      </c>
      <c r="E103">
        <v>7.89</v>
      </c>
      <c r="F103" s="3" t="s">
        <v>3</v>
      </c>
      <c r="G103" t="s">
        <v>328</v>
      </c>
      <c r="H103" t="s">
        <v>330</v>
      </c>
      <c r="I103" t="s">
        <v>329</v>
      </c>
      <c r="K103" s="19">
        <f t="shared" si="5"/>
        <v>509313</v>
      </c>
      <c r="L103" s="19">
        <f t="shared" ca="1" si="3"/>
        <v>3</v>
      </c>
      <c r="M103" s="19" t="str">
        <f t="shared" ca="1" si="4"/>
        <v>calibracion</v>
      </c>
      <c r="N103" s="19" t="s">
        <v>362</v>
      </c>
    </row>
    <row r="104" spans="1:14" x14ac:dyDescent="0.25">
      <c r="A104" t="s">
        <v>304</v>
      </c>
      <c r="B104">
        <v>778340</v>
      </c>
      <c r="C104" t="s">
        <v>305</v>
      </c>
      <c r="D104" t="s">
        <v>2</v>
      </c>
      <c r="E104">
        <v>7.95</v>
      </c>
      <c r="F104" s="3" t="s">
        <v>3</v>
      </c>
      <c r="G104" t="s">
        <v>328</v>
      </c>
      <c r="H104" t="s">
        <v>330</v>
      </c>
      <c r="I104" t="s">
        <v>329</v>
      </c>
      <c r="K104" s="19">
        <f t="shared" si="5"/>
        <v>778340</v>
      </c>
      <c r="L104" s="19">
        <f t="shared" ca="1" si="3"/>
        <v>6</v>
      </c>
      <c r="M104" s="19" t="str">
        <f t="shared" ca="1" si="4"/>
        <v>calibracion</v>
      </c>
      <c r="N104" s="19" t="s">
        <v>361</v>
      </c>
    </row>
    <row r="105" spans="1:14" x14ac:dyDescent="0.25">
      <c r="A105" t="s">
        <v>44</v>
      </c>
      <c r="B105">
        <v>317320</v>
      </c>
      <c r="C105" t="s">
        <v>45</v>
      </c>
      <c r="D105" t="s">
        <v>2</v>
      </c>
      <c r="E105">
        <v>7.99</v>
      </c>
      <c r="F105" s="3" t="s">
        <v>3</v>
      </c>
      <c r="G105" t="s">
        <v>328</v>
      </c>
      <c r="H105" t="s">
        <v>330</v>
      </c>
      <c r="I105" t="s">
        <v>329</v>
      </c>
      <c r="K105" s="19">
        <f t="shared" si="5"/>
        <v>317320</v>
      </c>
      <c r="L105" s="19">
        <f t="shared" ca="1" si="3"/>
        <v>8</v>
      </c>
      <c r="M105" s="19" t="str">
        <f t="shared" ca="1" si="4"/>
        <v>validacion</v>
      </c>
      <c r="N105" s="19" t="s">
        <v>361</v>
      </c>
    </row>
    <row r="106" spans="1:14" x14ac:dyDescent="0.25">
      <c r="A106" t="s">
        <v>4</v>
      </c>
      <c r="B106">
        <v>795311</v>
      </c>
      <c r="C106" t="s">
        <v>5</v>
      </c>
      <c r="D106" t="s">
        <v>2</v>
      </c>
      <c r="E106">
        <v>8.01</v>
      </c>
      <c r="F106" s="3" t="s">
        <v>3</v>
      </c>
      <c r="G106" t="s">
        <v>328</v>
      </c>
      <c r="H106" t="s">
        <v>330</v>
      </c>
      <c r="I106" t="s">
        <v>329</v>
      </c>
      <c r="K106" s="19">
        <f t="shared" si="5"/>
        <v>795311</v>
      </c>
      <c r="L106" s="19">
        <f t="shared" ca="1" si="3"/>
        <v>2</v>
      </c>
      <c r="M106" s="19" t="str">
        <f t="shared" ca="1" si="4"/>
        <v>calibracion</v>
      </c>
      <c r="N106" s="19" t="s">
        <v>361</v>
      </c>
    </row>
    <row r="107" spans="1:14" x14ac:dyDescent="0.25">
      <c r="A107" t="s">
        <v>124</v>
      </c>
      <c r="B107">
        <v>337326</v>
      </c>
      <c r="C107" t="s">
        <v>125</v>
      </c>
      <c r="D107" t="s">
        <v>2</v>
      </c>
      <c r="E107">
        <v>8.01</v>
      </c>
      <c r="F107" s="3" t="s">
        <v>3</v>
      </c>
      <c r="G107" t="s">
        <v>328</v>
      </c>
      <c r="H107" t="s">
        <v>330</v>
      </c>
      <c r="I107" t="s">
        <v>336</v>
      </c>
      <c r="K107" s="19">
        <f t="shared" si="5"/>
        <v>337326</v>
      </c>
      <c r="L107" s="19">
        <f t="shared" ca="1" si="3"/>
        <v>7</v>
      </c>
      <c r="M107" s="19" t="str">
        <f t="shared" ca="1" si="4"/>
        <v>calibracion</v>
      </c>
      <c r="N107" s="19" t="s">
        <v>362</v>
      </c>
    </row>
    <row r="108" spans="1:14" x14ac:dyDescent="0.25">
      <c r="A108" t="s">
        <v>134</v>
      </c>
      <c r="B108">
        <v>590306</v>
      </c>
      <c r="C108" t="s">
        <v>135</v>
      </c>
      <c r="D108" t="s">
        <v>2</v>
      </c>
      <c r="E108">
        <v>8.16</v>
      </c>
      <c r="F108" s="3" t="s">
        <v>3</v>
      </c>
      <c r="G108" t="s">
        <v>328</v>
      </c>
      <c r="H108" t="s">
        <v>330</v>
      </c>
      <c r="I108" t="s">
        <v>329</v>
      </c>
      <c r="K108" s="19">
        <f t="shared" si="5"/>
        <v>590306</v>
      </c>
      <c r="L108" s="19">
        <f t="shared" ca="1" si="3"/>
        <v>5</v>
      </c>
      <c r="M108" s="19" t="str">
        <f t="shared" ca="1" si="4"/>
        <v>calibracion</v>
      </c>
      <c r="N108" s="19" t="s">
        <v>361</v>
      </c>
    </row>
    <row r="109" spans="1:14" x14ac:dyDescent="0.25">
      <c r="A109" t="s">
        <v>142</v>
      </c>
      <c r="B109">
        <v>590313</v>
      </c>
      <c r="C109" t="s">
        <v>143</v>
      </c>
      <c r="D109" t="s">
        <v>2</v>
      </c>
      <c r="E109">
        <v>8.17</v>
      </c>
      <c r="F109" s="3" t="s">
        <v>3</v>
      </c>
      <c r="G109" t="s">
        <v>328</v>
      </c>
      <c r="H109" t="s">
        <v>330</v>
      </c>
      <c r="I109" t="s">
        <v>329</v>
      </c>
      <c r="K109" s="19">
        <f t="shared" si="5"/>
        <v>590313</v>
      </c>
      <c r="L109" s="19">
        <f t="shared" ca="1" si="3"/>
        <v>3</v>
      </c>
      <c r="M109" s="19" t="str">
        <f t="shared" ca="1" si="4"/>
        <v>calibracion</v>
      </c>
      <c r="N109" s="19" t="s">
        <v>361</v>
      </c>
    </row>
    <row r="110" spans="1:14" x14ac:dyDescent="0.25">
      <c r="A110" t="s">
        <v>298</v>
      </c>
      <c r="B110">
        <v>548312</v>
      </c>
      <c r="C110" t="s">
        <v>299</v>
      </c>
      <c r="D110" t="s">
        <v>2</v>
      </c>
      <c r="E110">
        <v>8.17</v>
      </c>
      <c r="F110" s="3" t="s">
        <v>3</v>
      </c>
      <c r="G110" t="s">
        <v>328</v>
      </c>
      <c r="H110" t="s">
        <v>330</v>
      </c>
      <c r="I110" t="s">
        <v>329</v>
      </c>
      <c r="K110" s="19">
        <f t="shared" si="5"/>
        <v>548312</v>
      </c>
      <c r="L110" s="19">
        <f t="shared" ca="1" si="3"/>
        <v>1</v>
      </c>
      <c r="M110" s="19" t="str">
        <f t="shared" ca="1" si="4"/>
        <v>calibracion</v>
      </c>
      <c r="N110" s="19" t="s">
        <v>362</v>
      </c>
    </row>
    <row r="111" spans="1:14" x14ac:dyDescent="0.25">
      <c r="A111" t="s">
        <v>96</v>
      </c>
      <c r="B111">
        <v>320316</v>
      </c>
      <c r="C111" t="s">
        <v>97</v>
      </c>
      <c r="D111" t="s">
        <v>2</v>
      </c>
      <c r="E111">
        <v>8.27</v>
      </c>
      <c r="F111" s="3" t="s">
        <v>3</v>
      </c>
      <c r="G111" t="s">
        <v>328</v>
      </c>
      <c r="H111" t="s">
        <v>330</v>
      </c>
      <c r="I111" t="s">
        <v>329</v>
      </c>
      <c r="K111" s="19">
        <f t="shared" si="5"/>
        <v>320316</v>
      </c>
      <c r="L111" s="19">
        <f t="shared" ca="1" si="3"/>
        <v>3</v>
      </c>
      <c r="M111" s="19" t="str">
        <f t="shared" ca="1" si="4"/>
        <v>calibracion</v>
      </c>
      <c r="N111" s="19" t="s">
        <v>362</v>
      </c>
    </row>
    <row r="112" spans="1:14" x14ac:dyDescent="0.25">
      <c r="A112" t="s">
        <v>68</v>
      </c>
      <c r="B112">
        <v>319318</v>
      </c>
      <c r="C112" t="s">
        <v>69</v>
      </c>
      <c r="D112" t="s">
        <v>2</v>
      </c>
      <c r="E112">
        <v>8.44</v>
      </c>
      <c r="F112" s="3" t="s">
        <v>3</v>
      </c>
      <c r="G112" t="s">
        <v>328</v>
      </c>
      <c r="H112" t="s">
        <v>330</v>
      </c>
      <c r="I112" t="s">
        <v>329</v>
      </c>
      <c r="K112" s="19">
        <f t="shared" si="5"/>
        <v>319318</v>
      </c>
      <c r="L112" s="19">
        <f t="shared" ca="1" si="3"/>
        <v>5</v>
      </c>
      <c r="M112" s="19" t="str">
        <f t="shared" ca="1" si="4"/>
        <v>calibracion</v>
      </c>
      <c r="N112" s="19" t="s">
        <v>362</v>
      </c>
    </row>
    <row r="113" spans="1:14" x14ac:dyDescent="0.25">
      <c r="A113" t="s">
        <v>188</v>
      </c>
      <c r="B113">
        <v>231340</v>
      </c>
      <c r="C113" t="s">
        <v>189</v>
      </c>
      <c r="D113" t="s">
        <v>2</v>
      </c>
      <c r="E113">
        <v>8.4700000000000006</v>
      </c>
      <c r="F113" s="3" t="s">
        <v>3</v>
      </c>
      <c r="G113" t="s">
        <v>328</v>
      </c>
      <c r="H113" t="s">
        <v>330</v>
      </c>
      <c r="I113" t="s">
        <v>329</v>
      </c>
      <c r="K113" s="19">
        <f t="shared" si="5"/>
        <v>231340</v>
      </c>
      <c r="L113" s="19">
        <f t="shared" ca="1" si="3"/>
        <v>10</v>
      </c>
      <c r="M113" s="19" t="str">
        <f t="shared" ca="1" si="4"/>
        <v>validacion</v>
      </c>
      <c r="N113" s="19" t="s">
        <v>362</v>
      </c>
    </row>
    <row r="114" spans="1:14" x14ac:dyDescent="0.25">
      <c r="A114" t="s">
        <v>98</v>
      </c>
      <c r="B114">
        <v>320318</v>
      </c>
      <c r="C114" t="s">
        <v>99</v>
      </c>
      <c r="D114" t="s">
        <v>2</v>
      </c>
      <c r="E114">
        <v>8.57</v>
      </c>
      <c r="F114" s="3" t="s">
        <v>3</v>
      </c>
      <c r="G114" t="s">
        <v>328</v>
      </c>
      <c r="H114" t="s">
        <v>330</v>
      </c>
      <c r="I114" t="s">
        <v>329</v>
      </c>
      <c r="K114" s="19">
        <f t="shared" si="5"/>
        <v>320318</v>
      </c>
      <c r="L114" s="19">
        <f t="shared" ca="1" si="3"/>
        <v>10</v>
      </c>
      <c r="M114" s="19" t="str">
        <f t="shared" ca="1" si="4"/>
        <v>validacion</v>
      </c>
      <c r="N114" s="19" t="s">
        <v>362</v>
      </c>
    </row>
    <row r="115" spans="1:14" x14ac:dyDescent="0.25">
      <c r="A115" t="s">
        <v>120</v>
      </c>
      <c r="B115">
        <v>323323</v>
      </c>
      <c r="C115" t="s">
        <v>121</v>
      </c>
      <c r="D115" t="s">
        <v>2</v>
      </c>
      <c r="E115">
        <v>8.68</v>
      </c>
      <c r="F115" s="3" t="s">
        <v>3</v>
      </c>
      <c r="G115" t="s">
        <v>328</v>
      </c>
      <c r="H115" t="s">
        <v>330</v>
      </c>
      <c r="I115" t="s">
        <v>329</v>
      </c>
      <c r="K115" s="19">
        <f t="shared" si="5"/>
        <v>323323</v>
      </c>
      <c r="L115" s="19">
        <f t="shared" ca="1" si="3"/>
        <v>8</v>
      </c>
      <c r="M115" s="19" t="str">
        <f t="shared" ca="1" si="4"/>
        <v>validacion</v>
      </c>
      <c r="N115" s="19" t="s">
        <v>361</v>
      </c>
    </row>
    <row r="116" spans="1:14" x14ac:dyDescent="0.25">
      <c r="A116" t="s">
        <v>146</v>
      </c>
      <c r="B116">
        <v>590317</v>
      </c>
      <c r="C116" t="s">
        <v>147</v>
      </c>
      <c r="D116" t="s">
        <v>2</v>
      </c>
      <c r="E116">
        <v>8.68</v>
      </c>
      <c r="F116" s="3" t="s">
        <v>3</v>
      </c>
      <c r="G116" t="s">
        <v>328</v>
      </c>
      <c r="H116" t="s">
        <v>330</v>
      </c>
      <c r="I116" t="s">
        <v>329</v>
      </c>
      <c r="K116" s="19">
        <f t="shared" si="5"/>
        <v>590317</v>
      </c>
      <c r="L116" s="19">
        <f t="shared" ca="1" si="3"/>
        <v>5</v>
      </c>
      <c r="M116" s="19" t="str">
        <f t="shared" ca="1" si="4"/>
        <v>calibracion</v>
      </c>
      <c r="N116" s="19" t="s">
        <v>362</v>
      </c>
    </row>
    <row r="117" spans="1:14" x14ac:dyDescent="0.25">
      <c r="A117" t="s">
        <v>198</v>
      </c>
      <c r="B117">
        <v>390310</v>
      </c>
      <c r="C117" t="s">
        <v>199</v>
      </c>
      <c r="D117" t="s">
        <v>2</v>
      </c>
      <c r="E117">
        <v>8.7799999999999994</v>
      </c>
      <c r="F117" s="3" t="s">
        <v>3</v>
      </c>
      <c r="G117" t="s">
        <v>328</v>
      </c>
      <c r="H117" t="s">
        <v>330</v>
      </c>
      <c r="I117" t="s">
        <v>329</v>
      </c>
      <c r="K117" s="19">
        <f t="shared" si="5"/>
        <v>390310</v>
      </c>
      <c r="L117" s="19">
        <f t="shared" ca="1" si="3"/>
        <v>2</v>
      </c>
      <c r="M117" s="19" t="str">
        <f t="shared" ca="1" si="4"/>
        <v>calibracion</v>
      </c>
      <c r="N117" s="19" t="s">
        <v>362</v>
      </c>
    </row>
    <row r="118" spans="1:14" x14ac:dyDescent="0.25">
      <c r="A118" t="s">
        <v>58</v>
      </c>
      <c r="B118">
        <v>318333</v>
      </c>
      <c r="C118" t="s">
        <v>59</v>
      </c>
      <c r="D118" t="s">
        <v>2</v>
      </c>
      <c r="E118">
        <v>8.8000000000000007</v>
      </c>
      <c r="F118" s="3" t="s">
        <v>3</v>
      </c>
      <c r="G118" t="s">
        <v>328</v>
      </c>
      <c r="H118" t="s">
        <v>330</v>
      </c>
      <c r="I118" t="s">
        <v>329</v>
      </c>
      <c r="K118" s="19">
        <f t="shared" si="5"/>
        <v>318333</v>
      </c>
      <c r="L118" s="19">
        <f t="shared" ca="1" si="3"/>
        <v>6</v>
      </c>
      <c r="M118" s="19" t="str">
        <f t="shared" ca="1" si="4"/>
        <v>calibracion</v>
      </c>
      <c r="N118" s="19" t="s">
        <v>362</v>
      </c>
    </row>
    <row r="119" spans="1:14" x14ac:dyDescent="0.25">
      <c r="A119" t="s">
        <v>100</v>
      </c>
      <c r="B119">
        <v>320320</v>
      </c>
      <c r="C119" t="s">
        <v>101</v>
      </c>
      <c r="D119" t="s">
        <v>2</v>
      </c>
      <c r="E119">
        <v>8.9</v>
      </c>
      <c r="F119" s="3" t="s">
        <v>3</v>
      </c>
      <c r="G119" t="s">
        <v>328</v>
      </c>
      <c r="H119" t="s">
        <v>330</v>
      </c>
      <c r="I119" t="s">
        <v>329</v>
      </c>
      <c r="K119" s="19">
        <f t="shared" si="5"/>
        <v>320320</v>
      </c>
      <c r="L119" s="19">
        <f t="shared" ca="1" si="3"/>
        <v>4</v>
      </c>
      <c r="M119" s="19" t="str">
        <f t="shared" ca="1" si="4"/>
        <v>calibracion</v>
      </c>
      <c r="N119" s="19" t="s">
        <v>362</v>
      </c>
    </row>
    <row r="120" spans="1:14" x14ac:dyDescent="0.25">
      <c r="A120" t="s">
        <v>312</v>
      </c>
      <c r="B120">
        <v>779317</v>
      </c>
      <c r="C120" t="s">
        <v>313</v>
      </c>
      <c r="D120" t="s">
        <v>2</v>
      </c>
      <c r="E120">
        <v>8.99</v>
      </c>
      <c r="F120" s="3" t="s">
        <v>3</v>
      </c>
      <c r="G120" t="s">
        <v>328</v>
      </c>
      <c r="H120" t="s">
        <v>330</v>
      </c>
      <c r="I120" t="s">
        <v>329</v>
      </c>
      <c r="K120" s="19">
        <f t="shared" si="5"/>
        <v>779317</v>
      </c>
      <c r="L120" s="19">
        <f t="shared" ca="1" si="3"/>
        <v>6</v>
      </c>
      <c r="M120" s="19" t="str">
        <f t="shared" ca="1" si="4"/>
        <v>calibracion</v>
      </c>
      <c r="N120" s="19" t="s">
        <v>362</v>
      </c>
    </row>
    <row r="121" spans="1:14" x14ac:dyDescent="0.25">
      <c r="A121" t="s">
        <v>84</v>
      </c>
      <c r="B121">
        <v>319340</v>
      </c>
      <c r="C121" t="s">
        <v>85</v>
      </c>
      <c r="D121" t="s">
        <v>2</v>
      </c>
      <c r="E121">
        <v>9.2100000000000009</v>
      </c>
      <c r="F121" s="3" t="s">
        <v>3</v>
      </c>
      <c r="G121" t="s">
        <v>328</v>
      </c>
      <c r="H121" t="s">
        <v>330</v>
      </c>
      <c r="I121" t="s">
        <v>329</v>
      </c>
      <c r="K121" s="19">
        <f t="shared" si="5"/>
        <v>319340</v>
      </c>
      <c r="L121" s="19">
        <f t="shared" ca="1" si="3"/>
        <v>7</v>
      </c>
      <c r="M121" s="19" t="str">
        <f t="shared" ca="1" si="4"/>
        <v>calibracion</v>
      </c>
      <c r="N121" s="19" t="s">
        <v>362</v>
      </c>
    </row>
    <row r="122" spans="1:14" x14ac:dyDescent="0.25">
      <c r="A122" t="s">
        <v>180</v>
      </c>
      <c r="B122">
        <v>231334</v>
      </c>
      <c r="C122" t="s">
        <v>181</v>
      </c>
      <c r="D122" t="s">
        <v>2</v>
      </c>
      <c r="E122">
        <v>9.23</v>
      </c>
      <c r="F122" s="3" t="s">
        <v>3</v>
      </c>
      <c r="G122" t="s">
        <v>328</v>
      </c>
      <c r="H122" t="s">
        <v>330</v>
      </c>
      <c r="I122" t="s">
        <v>329</v>
      </c>
      <c r="K122" s="19">
        <f t="shared" si="5"/>
        <v>231334</v>
      </c>
      <c r="L122" s="19">
        <f t="shared" ca="1" si="3"/>
        <v>3</v>
      </c>
      <c r="M122" s="19" t="str">
        <f t="shared" ca="1" si="4"/>
        <v>calibracion</v>
      </c>
      <c r="N122" s="19" t="s">
        <v>362</v>
      </c>
    </row>
    <row r="123" spans="1:14" x14ac:dyDescent="0.25">
      <c r="A123" t="s">
        <v>62</v>
      </c>
      <c r="B123">
        <v>319310</v>
      </c>
      <c r="C123" t="s">
        <v>63</v>
      </c>
      <c r="D123" t="s">
        <v>2</v>
      </c>
      <c r="E123">
        <v>9.39</v>
      </c>
      <c r="F123" s="3" t="s">
        <v>3</v>
      </c>
      <c r="G123" t="s">
        <v>328</v>
      </c>
      <c r="H123" t="s">
        <v>330</v>
      </c>
      <c r="I123" t="s">
        <v>329</v>
      </c>
      <c r="K123" s="19">
        <f t="shared" si="5"/>
        <v>319310</v>
      </c>
      <c r="L123" s="19">
        <f t="shared" ca="1" si="3"/>
        <v>6</v>
      </c>
      <c r="M123" s="19" t="str">
        <f t="shared" ca="1" si="4"/>
        <v>calibracion</v>
      </c>
      <c r="N123" s="19" t="s">
        <v>362</v>
      </c>
    </row>
    <row r="124" spans="1:14" x14ac:dyDescent="0.25">
      <c r="A124" t="s">
        <v>26</v>
      </c>
      <c r="B124">
        <v>164302</v>
      </c>
      <c r="C124" t="s">
        <v>27</v>
      </c>
      <c r="D124" t="s">
        <v>2</v>
      </c>
      <c r="E124">
        <v>9.4600000000000009</v>
      </c>
      <c r="F124" s="3" t="s">
        <v>3</v>
      </c>
      <c r="G124" t="s">
        <v>328</v>
      </c>
      <c r="H124" t="s">
        <v>330</v>
      </c>
      <c r="I124" t="s">
        <v>329</v>
      </c>
      <c r="K124" s="19">
        <f t="shared" si="5"/>
        <v>164302</v>
      </c>
      <c r="L124" s="19">
        <f t="shared" ca="1" si="3"/>
        <v>7</v>
      </c>
      <c r="M124" s="19" t="str">
        <f t="shared" ca="1" si="4"/>
        <v>calibracion</v>
      </c>
      <c r="N124" s="19" t="s">
        <v>362</v>
      </c>
    </row>
    <row r="125" spans="1:14" x14ac:dyDescent="0.25">
      <c r="A125" t="s">
        <v>138</v>
      </c>
      <c r="B125">
        <v>590309</v>
      </c>
      <c r="C125" t="s">
        <v>139</v>
      </c>
      <c r="D125" t="s">
        <v>2</v>
      </c>
      <c r="E125">
        <v>9.5</v>
      </c>
      <c r="F125" s="3" t="s">
        <v>3</v>
      </c>
      <c r="G125" t="s">
        <v>328</v>
      </c>
      <c r="H125" t="s">
        <v>330</v>
      </c>
      <c r="I125" t="s">
        <v>329</v>
      </c>
      <c r="K125" s="19">
        <f t="shared" si="5"/>
        <v>590309</v>
      </c>
      <c r="L125" s="19">
        <f t="shared" ca="1" si="3"/>
        <v>5</v>
      </c>
      <c r="M125" s="19" t="str">
        <f t="shared" ca="1" si="4"/>
        <v>calibracion</v>
      </c>
      <c r="N125" s="19" t="s">
        <v>362</v>
      </c>
    </row>
    <row r="126" spans="1:14" x14ac:dyDescent="0.25">
      <c r="A126" t="s">
        <v>262</v>
      </c>
      <c r="B126">
        <v>545306</v>
      </c>
      <c r="C126" t="s">
        <v>263</v>
      </c>
      <c r="D126" t="s">
        <v>2</v>
      </c>
      <c r="E126">
        <v>9.52</v>
      </c>
      <c r="F126" s="3" t="s">
        <v>3</v>
      </c>
      <c r="G126" t="s">
        <v>328</v>
      </c>
      <c r="H126" t="s">
        <v>330</v>
      </c>
      <c r="I126" t="s">
        <v>329</v>
      </c>
      <c r="K126" s="19">
        <f t="shared" si="5"/>
        <v>545306</v>
      </c>
      <c r="L126" s="19">
        <f t="shared" ca="1" si="3"/>
        <v>5</v>
      </c>
      <c r="M126" s="19" t="str">
        <f t="shared" ca="1" si="4"/>
        <v>calibracion</v>
      </c>
      <c r="N126" s="19" t="s">
        <v>362</v>
      </c>
    </row>
    <row r="127" spans="1:14" x14ac:dyDescent="0.25">
      <c r="A127" t="s">
        <v>40</v>
      </c>
      <c r="B127">
        <v>317310</v>
      </c>
      <c r="C127" t="s">
        <v>41</v>
      </c>
      <c r="D127" t="s">
        <v>2</v>
      </c>
      <c r="E127">
        <v>9.5299999999999994</v>
      </c>
      <c r="F127" s="3" t="s">
        <v>3</v>
      </c>
      <c r="G127" t="s">
        <v>328</v>
      </c>
      <c r="H127" t="s">
        <v>330</v>
      </c>
      <c r="I127" t="s">
        <v>329</v>
      </c>
      <c r="K127" s="19">
        <f t="shared" si="5"/>
        <v>317310</v>
      </c>
      <c r="L127" s="19">
        <f t="shared" ca="1" si="3"/>
        <v>7</v>
      </c>
      <c r="M127" s="19" t="str">
        <f t="shared" ca="1" si="4"/>
        <v>calibracion</v>
      </c>
      <c r="N127" s="19" t="s">
        <v>362</v>
      </c>
    </row>
    <row r="128" spans="1:14" x14ac:dyDescent="0.25">
      <c r="A128" t="s">
        <v>300</v>
      </c>
      <c r="B128">
        <v>548322</v>
      </c>
      <c r="C128" t="s">
        <v>301</v>
      </c>
      <c r="D128" t="s">
        <v>2</v>
      </c>
      <c r="E128">
        <v>9.5399999999999991</v>
      </c>
      <c r="F128" s="3" t="s">
        <v>3</v>
      </c>
      <c r="G128" t="s">
        <v>328</v>
      </c>
      <c r="H128" t="s">
        <v>330</v>
      </c>
      <c r="I128" t="s">
        <v>329</v>
      </c>
      <c r="K128" s="19">
        <f t="shared" si="5"/>
        <v>548322</v>
      </c>
      <c r="L128" s="19">
        <f t="shared" ca="1" si="3"/>
        <v>3</v>
      </c>
      <c r="M128" s="19" t="str">
        <f t="shared" ca="1" si="4"/>
        <v>calibracion</v>
      </c>
      <c r="N128" s="19" t="s">
        <v>362</v>
      </c>
    </row>
    <row r="129" spans="1:14" x14ac:dyDescent="0.25">
      <c r="A129" t="s">
        <v>214</v>
      </c>
      <c r="B129">
        <v>509314</v>
      </c>
      <c r="C129" t="s">
        <v>215</v>
      </c>
      <c r="D129" t="s">
        <v>2</v>
      </c>
      <c r="E129">
        <v>9.57</v>
      </c>
      <c r="F129" s="3" t="s">
        <v>3</v>
      </c>
      <c r="G129" t="s">
        <v>328</v>
      </c>
      <c r="H129" t="s">
        <v>330</v>
      </c>
      <c r="I129" t="s">
        <v>329</v>
      </c>
      <c r="K129" s="19">
        <f t="shared" si="5"/>
        <v>509314</v>
      </c>
      <c r="L129" s="19">
        <f t="shared" ca="1" si="3"/>
        <v>9</v>
      </c>
      <c r="M129" s="19" t="str">
        <f t="shared" ca="1" si="4"/>
        <v>validacion</v>
      </c>
      <c r="N129" s="19" t="s">
        <v>361</v>
      </c>
    </row>
    <row r="130" spans="1:14" x14ac:dyDescent="0.25">
      <c r="A130" t="s">
        <v>118</v>
      </c>
      <c r="B130">
        <v>320340</v>
      </c>
      <c r="C130" t="s">
        <v>119</v>
      </c>
      <c r="D130" t="s">
        <v>2</v>
      </c>
      <c r="E130">
        <v>9.66</v>
      </c>
      <c r="F130" s="3" t="s">
        <v>3</v>
      </c>
      <c r="G130" t="s">
        <v>328</v>
      </c>
      <c r="H130" t="s">
        <v>330</v>
      </c>
      <c r="I130" t="s">
        <v>329</v>
      </c>
      <c r="K130" s="19">
        <f t="shared" si="5"/>
        <v>320340</v>
      </c>
      <c r="L130" s="19">
        <f t="shared" ref="L130:L193" ca="1" si="6">IF(A130="","",RANDBETWEEN(1,10))</f>
        <v>3</v>
      </c>
      <c r="M130" s="19" t="str">
        <f t="shared" ref="M130:M193" ca="1" si="7">IF(A130="","",IF(L130&lt;8,"calibracion","validacion"))</f>
        <v>calibracion</v>
      </c>
      <c r="N130" s="19" t="s">
        <v>361</v>
      </c>
    </row>
    <row r="131" spans="1:14" x14ac:dyDescent="0.25">
      <c r="A131" t="s">
        <v>34</v>
      </c>
      <c r="B131">
        <v>169333</v>
      </c>
      <c r="C131" t="s">
        <v>35</v>
      </c>
      <c r="D131" t="s">
        <v>2</v>
      </c>
      <c r="E131">
        <v>9.7200000000000006</v>
      </c>
      <c r="F131" s="3" t="s">
        <v>3</v>
      </c>
      <c r="G131" t="s">
        <v>328</v>
      </c>
      <c r="H131" t="s">
        <v>330</v>
      </c>
      <c r="I131" t="s">
        <v>329</v>
      </c>
      <c r="K131" s="19">
        <f t="shared" ref="K131:K194" si="8">IF(C131="","",C131-((TRUNC((C131/1000000),0))*1000000))</f>
        <v>169333</v>
      </c>
      <c r="L131" s="19">
        <f t="shared" ca="1" si="6"/>
        <v>6</v>
      </c>
      <c r="M131" s="19" t="str">
        <f t="shared" ca="1" si="7"/>
        <v>calibracion</v>
      </c>
      <c r="N131" s="19" t="s">
        <v>362</v>
      </c>
    </row>
    <row r="132" spans="1:14" x14ac:dyDescent="0.25">
      <c r="A132" t="s">
        <v>166</v>
      </c>
      <c r="B132">
        <v>231308</v>
      </c>
      <c r="C132" t="s">
        <v>167</v>
      </c>
      <c r="D132" t="s">
        <v>2</v>
      </c>
      <c r="E132">
        <v>9.74</v>
      </c>
      <c r="F132" s="3" t="s">
        <v>3</v>
      </c>
      <c r="G132" t="s">
        <v>328</v>
      </c>
      <c r="H132" t="s">
        <v>330</v>
      </c>
      <c r="I132" t="s">
        <v>329</v>
      </c>
      <c r="K132" s="19">
        <f t="shared" si="8"/>
        <v>231308</v>
      </c>
      <c r="L132" s="19">
        <f t="shared" ca="1" si="6"/>
        <v>6</v>
      </c>
      <c r="M132" s="19" t="str">
        <f t="shared" ca="1" si="7"/>
        <v>calibracion</v>
      </c>
      <c r="N132" s="19" t="s">
        <v>362</v>
      </c>
    </row>
    <row r="133" spans="1:14" x14ac:dyDescent="0.25">
      <c r="A133" t="s">
        <v>290</v>
      </c>
      <c r="B133">
        <v>548301</v>
      </c>
      <c r="C133" t="s">
        <v>291</v>
      </c>
      <c r="D133" t="s">
        <v>2</v>
      </c>
      <c r="E133">
        <v>9.76</v>
      </c>
      <c r="F133" s="3" t="s">
        <v>3</v>
      </c>
      <c r="G133" t="s">
        <v>328</v>
      </c>
      <c r="H133" t="s">
        <v>330</v>
      </c>
      <c r="I133" t="s">
        <v>329</v>
      </c>
      <c r="K133" s="19">
        <f t="shared" si="8"/>
        <v>548301</v>
      </c>
      <c r="L133" s="19">
        <f t="shared" ca="1" si="6"/>
        <v>5</v>
      </c>
      <c r="M133" s="19" t="str">
        <f t="shared" ca="1" si="7"/>
        <v>calibracion</v>
      </c>
      <c r="N133" s="19" t="s">
        <v>362</v>
      </c>
    </row>
    <row r="134" spans="1:14" x14ac:dyDescent="0.25">
      <c r="A134" t="s">
        <v>102</v>
      </c>
      <c r="B134">
        <v>320322</v>
      </c>
      <c r="C134" t="s">
        <v>103</v>
      </c>
      <c r="D134" t="s">
        <v>2</v>
      </c>
      <c r="E134">
        <v>9.77</v>
      </c>
      <c r="F134" s="3" t="s">
        <v>3</v>
      </c>
      <c r="G134" t="s">
        <v>328</v>
      </c>
      <c r="H134" t="s">
        <v>330</v>
      </c>
      <c r="I134" t="s">
        <v>329</v>
      </c>
      <c r="K134" s="19">
        <f t="shared" si="8"/>
        <v>320322</v>
      </c>
      <c r="L134" s="19">
        <f t="shared" ca="1" si="6"/>
        <v>2</v>
      </c>
      <c r="M134" s="19" t="str">
        <f t="shared" ca="1" si="7"/>
        <v>calibracion</v>
      </c>
      <c r="N134" s="19" t="s">
        <v>362</v>
      </c>
    </row>
    <row r="135" spans="1:14" x14ac:dyDescent="0.25">
      <c r="A135" t="s">
        <v>200</v>
      </c>
      <c r="B135">
        <v>390313</v>
      </c>
      <c r="C135" t="s">
        <v>201</v>
      </c>
      <c r="D135" t="s">
        <v>2</v>
      </c>
      <c r="E135">
        <v>9.7799999999999994</v>
      </c>
      <c r="F135" s="3" t="s">
        <v>3</v>
      </c>
      <c r="G135" t="s">
        <v>328</v>
      </c>
      <c r="H135" t="s">
        <v>330</v>
      </c>
      <c r="I135" t="s">
        <v>329</v>
      </c>
      <c r="K135" s="19">
        <f t="shared" si="8"/>
        <v>390313</v>
      </c>
      <c r="L135" s="19">
        <f t="shared" ca="1" si="6"/>
        <v>1</v>
      </c>
      <c r="M135" s="19" t="str">
        <f t="shared" ca="1" si="7"/>
        <v>calibracion</v>
      </c>
      <c r="N135" s="19" t="s">
        <v>361</v>
      </c>
    </row>
    <row r="136" spans="1:14" x14ac:dyDescent="0.25">
      <c r="A136" t="s">
        <v>52</v>
      </c>
      <c r="B136">
        <v>318309</v>
      </c>
      <c r="C136" t="s">
        <v>53</v>
      </c>
      <c r="D136" t="s">
        <v>2</v>
      </c>
      <c r="E136">
        <v>9.8000000000000007</v>
      </c>
      <c r="F136" s="3" t="s">
        <v>3</v>
      </c>
      <c r="G136" t="s">
        <v>328</v>
      </c>
      <c r="H136" t="s">
        <v>330</v>
      </c>
      <c r="I136" t="s">
        <v>331</v>
      </c>
      <c r="K136" s="19">
        <f t="shared" si="8"/>
        <v>318309</v>
      </c>
      <c r="L136" s="19">
        <f t="shared" ca="1" si="6"/>
        <v>1</v>
      </c>
      <c r="M136" s="19" t="str">
        <f t="shared" ca="1" si="7"/>
        <v>calibracion</v>
      </c>
      <c r="N136" s="19" t="s">
        <v>362</v>
      </c>
    </row>
    <row r="137" spans="1:14" x14ac:dyDescent="0.25">
      <c r="A137" t="s">
        <v>158</v>
      </c>
      <c r="B137">
        <v>231302</v>
      </c>
      <c r="C137" t="s">
        <v>159</v>
      </c>
      <c r="D137" t="s">
        <v>2</v>
      </c>
      <c r="E137">
        <v>9.81</v>
      </c>
      <c r="F137" s="3" t="s">
        <v>3</v>
      </c>
      <c r="G137" t="s">
        <v>328</v>
      </c>
      <c r="H137" t="s">
        <v>330</v>
      </c>
      <c r="I137" t="s">
        <v>329</v>
      </c>
      <c r="K137" s="19">
        <f t="shared" si="8"/>
        <v>231302</v>
      </c>
      <c r="L137" s="19">
        <f t="shared" ca="1" si="6"/>
        <v>1</v>
      </c>
      <c r="M137" s="19" t="str">
        <f t="shared" ca="1" si="7"/>
        <v>calibracion</v>
      </c>
      <c r="N137" s="19" t="s">
        <v>362</v>
      </c>
    </row>
    <row r="138" spans="1:14" x14ac:dyDescent="0.25">
      <c r="A138" t="s">
        <v>108</v>
      </c>
      <c r="B138">
        <v>320328</v>
      </c>
      <c r="C138" t="s">
        <v>109</v>
      </c>
      <c r="D138" t="s">
        <v>2</v>
      </c>
      <c r="E138">
        <v>9.82</v>
      </c>
      <c r="F138" s="3" t="s">
        <v>3</v>
      </c>
      <c r="G138" t="s">
        <v>328</v>
      </c>
      <c r="H138" t="s">
        <v>330</v>
      </c>
      <c r="I138" t="s">
        <v>329</v>
      </c>
      <c r="K138" s="19">
        <f t="shared" si="8"/>
        <v>320328</v>
      </c>
      <c r="L138" s="19">
        <f t="shared" ca="1" si="6"/>
        <v>6</v>
      </c>
      <c r="M138" s="19" t="str">
        <f t="shared" ca="1" si="7"/>
        <v>calibracion</v>
      </c>
      <c r="N138" s="19" t="s">
        <v>362</v>
      </c>
    </row>
    <row r="139" spans="1:14" x14ac:dyDescent="0.25">
      <c r="A139" t="s">
        <v>28</v>
      </c>
      <c r="B139">
        <v>164308</v>
      </c>
      <c r="C139" t="s">
        <v>29</v>
      </c>
      <c r="D139" t="s">
        <v>2</v>
      </c>
      <c r="E139">
        <v>9.84</v>
      </c>
      <c r="F139" s="3" t="s">
        <v>3</v>
      </c>
      <c r="G139" t="s">
        <v>328</v>
      </c>
      <c r="H139" t="s">
        <v>330</v>
      </c>
      <c r="I139" t="s">
        <v>329</v>
      </c>
      <c r="K139" s="19">
        <f t="shared" si="8"/>
        <v>164308</v>
      </c>
      <c r="L139" s="19">
        <f t="shared" ca="1" si="6"/>
        <v>10</v>
      </c>
      <c r="M139" s="19" t="str">
        <f t="shared" ca="1" si="7"/>
        <v>validacion</v>
      </c>
      <c r="N139" s="19" t="s">
        <v>362</v>
      </c>
    </row>
    <row r="140" spans="1:14" x14ac:dyDescent="0.25">
      <c r="A140" t="s">
        <v>162</v>
      </c>
      <c r="B140">
        <v>231305</v>
      </c>
      <c r="C140" t="s">
        <v>163</v>
      </c>
      <c r="D140" t="s">
        <v>2</v>
      </c>
      <c r="E140">
        <v>9.86</v>
      </c>
      <c r="F140" s="3" t="s">
        <v>3</v>
      </c>
      <c r="G140" t="s">
        <v>328</v>
      </c>
      <c r="H140" t="s">
        <v>330</v>
      </c>
      <c r="I140" t="s">
        <v>329</v>
      </c>
      <c r="K140" s="19">
        <f t="shared" si="8"/>
        <v>231305</v>
      </c>
      <c r="L140" s="19">
        <f t="shared" ca="1" si="6"/>
        <v>5</v>
      </c>
      <c r="M140" s="19" t="str">
        <f t="shared" ca="1" si="7"/>
        <v>calibracion</v>
      </c>
      <c r="N140" s="19" t="s">
        <v>362</v>
      </c>
    </row>
    <row r="141" spans="1:14" x14ac:dyDescent="0.25">
      <c r="A141" t="s">
        <v>14</v>
      </c>
      <c r="B141">
        <v>795321</v>
      </c>
      <c r="C141" t="s">
        <v>15</v>
      </c>
      <c r="D141" t="s">
        <v>2</v>
      </c>
      <c r="E141">
        <v>9.89</v>
      </c>
      <c r="F141" s="3" t="s">
        <v>3</v>
      </c>
      <c r="G141" t="s">
        <v>328</v>
      </c>
      <c r="H141" t="s">
        <v>330</v>
      </c>
      <c r="I141" t="s">
        <v>329</v>
      </c>
      <c r="K141" s="19">
        <f t="shared" si="8"/>
        <v>795321</v>
      </c>
      <c r="L141" s="19">
        <f t="shared" ca="1" si="6"/>
        <v>3</v>
      </c>
      <c r="M141" s="19" t="str">
        <f t="shared" ca="1" si="7"/>
        <v>calibracion</v>
      </c>
      <c r="N141" s="19" t="s">
        <v>361</v>
      </c>
    </row>
    <row r="142" spans="1:14" x14ac:dyDescent="0.25">
      <c r="A142" t="s">
        <v>192</v>
      </c>
      <c r="B142">
        <v>388305</v>
      </c>
      <c r="C142" t="s">
        <v>193</v>
      </c>
      <c r="D142" t="s">
        <v>2</v>
      </c>
      <c r="E142">
        <v>9.92</v>
      </c>
      <c r="F142" s="3" t="s">
        <v>3</v>
      </c>
      <c r="G142" t="s">
        <v>328</v>
      </c>
      <c r="H142" t="s">
        <v>330</v>
      </c>
      <c r="I142" t="s">
        <v>329</v>
      </c>
      <c r="K142" s="19">
        <f t="shared" si="8"/>
        <v>388305</v>
      </c>
      <c r="L142" s="19">
        <f t="shared" ca="1" si="6"/>
        <v>8</v>
      </c>
      <c r="M142" s="19" t="str">
        <f t="shared" ca="1" si="7"/>
        <v>validacion</v>
      </c>
      <c r="N142" s="19" t="s">
        <v>362</v>
      </c>
    </row>
    <row r="143" spans="1:14" x14ac:dyDescent="0.25">
      <c r="A143" t="s">
        <v>164</v>
      </c>
      <c r="B143">
        <v>231307</v>
      </c>
      <c r="C143" t="s">
        <v>165</v>
      </c>
      <c r="D143" t="s">
        <v>2</v>
      </c>
      <c r="E143">
        <v>9.9499999999999993</v>
      </c>
      <c r="F143" s="3" t="s">
        <v>3</v>
      </c>
      <c r="G143" t="s">
        <v>328</v>
      </c>
      <c r="H143" t="s">
        <v>330</v>
      </c>
      <c r="I143" t="s">
        <v>329</v>
      </c>
      <c r="K143" s="19">
        <f t="shared" si="8"/>
        <v>231307</v>
      </c>
      <c r="L143" s="19">
        <f t="shared" ca="1" si="6"/>
        <v>3</v>
      </c>
      <c r="M143" s="19" t="str">
        <f t="shared" ca="1" si="7"/>
        <v>calibracion</v>
      </c>
      <c r="N143" s="19" t="s">
        <v>361</v>
      </c>
    </row>
    <row r="144" spans="1:14" x14ac:dyDescent="0.25">
      <c r="A144" t="s">
        <v>194</v>
      </c>
      <c r="B144">
        <v>390319</v>
      </c>
      <c r="C144" t="s">
        <v>195</v>
      </c>
      <c r="D144" t="s">
        <v>2</v>
      </c>
      <c r="E144">
        <v>9.9499999999999993</v>
      </c>
      <c r="F144" s="3" t="s">
        <v>3</v>
      </c>
      <c r="G144" t="s">
        <v>328</v>
      </c>
      <c r="H144" t="s">
        <v>330</v>
      </c>
      <c r="I144" t="s">
        <v>329</v>
      </c>
      <c r="K144" s="19">
        <f t="shared" si="8"/>
        <v>390319</v>
      </c>
      <c r="L144" s="19">
        <f t="shared" ca="1" si="6"/>
        <v>1</v>
      </c>
      <c r="M144" s="19" t="str">
        <f t="shared" ca="1" si="7"/>
        <v>calibracion</v>
      </c>
      <c r="N144" s="19" t="s">
        <v>362</v>
      </c>
    </row>
    <row r="145" spans="1:14" x14ac:dyDescent="0.25">
      <c r="A145" t="s">
        <v>8</v>
      </c>
      <c r="B145">
        <v>795315</v>
      </c>
      <c r="C145" t="s">
        <v>9</v>
      </c>
      <c r="D145" t="s">
        <v>2</v>
      </c>
      <c r="E145">
        <v>9.99</v>
      </c>
      <c r="F145" s="3" t="s">
        <v>3</v>
      </c>
      <c r="G145" t="s">
        <v>328</v>
      </c>
      <c r="H145" t="s">
        <v>330</v>
      </c>
      <c r="I145" t="s">
        <v>329</v>
      </c>
      <c r="K145" s="19">
        <f t="shared" si="8"/>
        <v>795315</v>
      </c>
      <c r="L145" s="19">
        <f t="shared" ca="1" si="6"/>
        <v>9</v>
      </c>
      <c r="M145" s="19" t="str">
        <f t="shared" ca="1" si="7"/>
        <v>validacion</v>
      </c>
      <c r="N145" s="19" t="s">
        <v>361</v>
      </c>
    </row>
    <row r="146" spans="1:14" x14ac:dyDescent="0.25">
      <c r="A146" t="s">
        <v>184</v>
      </c>
      <c r="B146">
        <v>231336</v>
      </c>
      <c r="C146" t="s">
        <v>185</v>
      </c>
      <c r="D146" t="s">
        <v>2</v>
      </c>
      <c r="E146">
        <v>10.06</v>
      </c>
      <c r="F146" s="3" t="s">
        <v>3</v>
      </c>
      <c r="G146" t="s">
        <v>328</v>
      </c>
      <c r="H146" t="s">
        <v>330</v>
      </c>
      <c r="I146" t="s">
        <v>329</v>
      </c>
      <c r="K146" s="19">
        <f t="shared" si="8"/>
        <v>231336</v>
      </c>
      <c r="L146" s="19">
        <f t="shared" ca="1" si="6"/>
        <v>5</v>
      </c>
      <c r="M146" s="19" t="str">
        <f t="shared" ca="1" si="7"/>
        <v>calibracion</v>
      </c>
      <c r="N146" s="19" t="s">
        <v>362</v>
      </c>
    </row>
    <row r="147" spans="1:14" x14ac:dyDescent="0.25">
      <c r="A147" t="s">
        <v>178</v>
      </c>
      <c r="B147">
        <v>231333</v>
      </c>
      <c r="C147" t="s">
        <v>179</v>
      </c>
      <c r="D147" t="s">
        <v>2</v>
      </c>
      <c r="E147">
        <v>10.08</v>
      </c>
      <c r="F147" s="3" t="s">
        <v>3</v>
      </c>
      <c r="G147" t="s">
        <v>328</v>
      </c>
      <c r="H147" t="s">
        <v>330</v>
      </c>
      <c r="I147" t="s">
        <v>329</v>
      </c>
      <c r="K147" s="19">
        <f t="shared" si="8"/>
        <v>231333</v>
      </c>
      <c r="L147" s="19">
        <f t="shared" ca="1" si="6"/>
        <v>6</v>
      </c>
      <c r="M147" s="19" t="str">
        <f t="shared" ca="1" si="7"/>
        <v>calibracion</v>
      </c>
      <c r="N147" s="19" t="s">
        <v>362</v>
      </c>
    </row>
    <row r="148" spans="1:14" x14ac:dyDescent="0.25">
      <c r="A148" t="s">
        <v>36</v>
      </c>
      <c r="B148">
        <v>171309</v>
      </c>
      <c r="C148" t="s">
        <v>37</v>
      </c>
      <c r="D148" t="s">
        <v>2</v>
      </c>
      <c r="E148">
        <v>10.119999999999999</v>
      </c>
      <c r="F148" s="3" t="s">
        <v>3</v>
      </c>
      <c r="G148" t="s">
        <v>328</v>
      </c>
      <c r="H148" t="s">
        <v>330</v>
      </c>
      <c r="I148" t="s">
        <v>329</v>
      </c>
      <c r="K148" s="19">
        <f t="shared" si="8"/>
        <v>171309</v>
      </c>
      <c r="L148" s="19">
        <f t="shared" ca="1" si="6"/>
        <v>5</v>
      </c>
      <c r="M148" s="19" t="str">
        <f t="shared" ca="1" si="7"/>
        <v>calibracion</v>
      </c>
      <c r="N148" s="19" t="s">
        <v>362</v>
      </c>
    </row>
    <row r="149" spans="1:14" x14ac:dyDescent="0.25">
      <c r="A149" t="s">
        <v>204</v>
      </c>
      <c r="B149">
        <v>509310</v>
      </c>
      <c r="C149" t="s">
        <v>205</v>
      </c>
      <c r="D149" t="s">
        <v>2</v>
      </c>
      <c r="E149">
        <v>10.15</v>
      </c>
      <c r="F149" s="3" t="s">
        <v>3</v>
      </c>
      <c r="G149" t="s">
        <v>328</v>
      </c>
      <c r="H149" t="s">
        <v>330</v>
      </c>
      <c r="I149" t="s">
        <v>329</v>
      </c>
      <c r="K149" s="19">
        <f t="shared" si="8"/>
        <v>509310</v>
      </c>
      <c r="L149" s="19">
        <f t="shared" ca="1" si="6"/>
        <v>4</v>
      </c>
      <c r="M149" s="19" t="str">
        <f t="shared" ca="1" si="7"/>
        <v>calibracion</v>
      </c>
      <c r="N149" s="19" t="s">
        <v>361</v>
      </c>
    </row>
    <row r="150" spans="1:14" x14ac:dyDescent="0.25">
      <c r="A150" t="s">
        <v>296</v>
      </c>
      <c r="B150">
        <v>548308</v>
      </c>
      <c r="C150" t="s">
        <v>297</v>
      </c>
      <c r="D150" t="s">
        <v>2</v>
      </c>
      <c r="E150">
        <v>10.18</v>
      </c>
      <c r="F150" s="3" t="s">
        <v>3</v>
      </c>
      <c r="G150" t="s">
        <v>328</v>
      </c>
      <c r="H150" t="s">
        <v>330</v>
      </c>
      <c r="I150" t="s">
        <v>329</v>
      </c>
      <c r="K150" s="19">
        <f t="shared" si="8"/>
        <v>548308</v>
      </c>
      <c r="L150" s="19">
        <f t="shared" ca="1" si="6"/>
        <v>2</v>
      </c>
      <c r="M150" s="19" t="str">
        <f t="shared" ca="1" si="7"/>
        <v>calibracion</v>
      </c>
      <c r="N150" s="19" t="s">
        <v>362</v>
      </c>
    </row>
    <row r="151" spans="1:14" x14ac:dyDescent="0.25">
      <c r="A151" t="s">
        <v>186</v>
      </c>
      <c r="B151">
        <v>231338</v>
      </c>
      <c r="C151" t="s">
        <v>187</v>
      </c>
      <c r="D151" t="s">
        <v>2</v>
      </c>
      <c r="E151">
        <v>10.26</v>
      </c>
      <c r="F151" s="3" t="s">
        <v>3</v>
      </c>
      <c r="G151" t="s">
        <v>328</v>
      </c>
      <c r="H151" t="s">
        <v>330</v>
      </c>
      <c r="I151" t="s">
        <v>329</v>
      </c>
      <c r="K151" s="19">
        <f t="shared" si="8"/>
        <v>231338</v>
      </c>
      <c r="L151" s="19">
        <f t="shared" ca="1" si="6"/>
        <v>9</v>
      </c>
      <c r="M151" s="19" t="str">
        <f t="shared" ca="1" si="7"/>
        <v>validacion</v>
      </c>
      <c r="N151" s="19" t="s">
        <v>362</v>
      </c>
    </row>
    <row r="152" spans="1:14" x14ac:dyDescent="0.25">
      <c r="A152" t="s">
        <v>172</v>
      </c>
      <c r="B152">
        <v>231330</v>
      </c>
      <c r="C152" t="s">
        <v>173</v>
      </c>
      <c r="D152" t="s">
        <v>2</v>
      </c>
      <c r="E152">
        <v>10.28</v>
      </c>
      <c r="F152" s="3" t="s">
        <v>3</v>
      </c>
      <c r="G152" t="s">
        <v>328</v>
      </c>
      <c r="H152" t="s">
        <v>330</v>
      </c>
      <c r="I152" t="s">
        <v>329</v>
      </c>
      <c r="K152" s="19">
        <f t="shared" si="8"/>
        <v>231330</v>
      </c>
      <c r="L152" s="19">
        <f t="shared" ca="1" si="6"/>
        <v>4</v>
      </c>
      <c r="M152" s="19" t="str">
        <f t="shared" ca="1" si="7"/>
        <v>calibracion</v>
      </c>
      <c r="N152" s="19" t="s">
        <v>361</v>
      </c>
    </row>
    <row r="153" spans="1:14" x14ac:dyDescent="0.25">
      <c r="A153" t="s">
        <v>278</v>
      </c>
      <c r="B153">
        <v>545320</v>
      </c>
      <c r="C153" t="s">
        <v>279</v>
      </c>
      <c r="D153" t="s">
        <v>2</v>
      </c>
      <c r="E153">
        <v>10.29</v>
      </c>
      <c r="F153" s="3" t="s">
        <v>3</v>
      </c>
      <c r="G153" t="s">
        <v>328</v>
      </c>
      <c r="H153" t="s">
        <v>330</v>
      </c>
      <c r="I153" t="s">
        <v>329</v>
      </c>
      <c r="K153" s="19">
        <f t="shared" si="8"/>
        <v>545320</v>
      </c>
      <c r="L153" s="19">
        <f t="shared" ca="1" si="6"/>
        <v>2</v>
      </c>
      <c r="M153" s="19" t="str">
        <f t="shared" ca="1" si="7"/>
        <v>calibracion</v>
      </c>
      <c r="N153" s="19" t="s">
        <v>362</v>
      </c>
    </row>
    <row r="154" spans="1:14" x14ac:dyDescent="0.25">
      <c r="A154" t="s">
        <v>176</v>
      </c>
      <c r="B154">
        <v>231332</v>
      </c>
      <c r="C154" t="s">
        <v>177</v>
      </c>
      <c r="D154" t="s">
        <v>2</v>
      </c>
      <c r="E154">
        <v>10.33</v>
      </c>
      <c r="F154" s="3" t="s">
        <v>3</v>
      </c>
      <c r="G154" t="s">
        <v>328</v>
      </c>
      <c r="H154" t="s">
        <v>330</v>
      </c>
      <c r="I154" t="s">
        <v>329</v>
      </c>
      <c r="K154" s="19">
        <f t="shared" si="8"/>
        <v>231332</v>
      </c>
      <c r="L154" s="19">
        <f t="shared" ca="1" si="6"/>
        <v>1</v>
      </c>
      <c r="M154" s="19" t="str">
        <f t="shared" ca="1" si="7"/>
        <v>calibracion</v>
      </c>
      <c r="N154" s="19" t="s">
        <v>362</v>
      </c>
    </row>
    <row r="155" spans="1:14" x14ac:dyDescent="0.25">
      <c r="A155" t="s">
        <v>190</v>
      </c>
      <c r="B155">
        <v>233333</v>
      </c>
      <c r="C155" t="s">
        <v>191</v>
      </c>
      <c r="D155" t="s">
        <v>2</v>
      </c>
      <c r="E155">
        <v>10.33</v>
      </c>
      <c r="F155" s="3" t="s">
        <v>3</v>
      </c>
      <c r="G155" t="s">
        <v>328</v>
      </c>
      <c r="H155" t="s">
        <v>330</v>
      </c>
      <c r="I155" t="s">
        <v>329</v>
      </c>
      <c r="K155" s="19">
        <f t="shared" si="8"/>
        <v>233333</v>
      </c>
      <c r="L155" s="19">
        <f t="shared" ca="1" si="6"/>
        <v>3</v>
      </c>
      <c r="M155" s="19" t="str">
        <f t="shared" ca="1" si="7"/>
        <v>calibracion</v>
      </c>
      <c r="N155" s="19" t="s">
        <v>362</v>
      </c>
    </row>
    <row r="156" spans="1:14" x14ac:dyDescent="0.25">
      <c r="A156" t="s">
        <v>206</v>
      </c>
      <c r="B156">
        <v>509312</v>
      </c>
      <c r="C156" t="s">
        <v>207</v>
      </c>
      <c r="D156" t="s">
        <v>2</v>
      </c>
      <c r="E156">
        <v>10.35</v>
      </c>
      <c r="F156" s="3" t="s">
        <v>3</v>
      </c>
      <c r="G156" t="s">
        <v>328</v>
      </c>
      <c r="H156" t="s">
        <v>330</v>
      </c>
      <c r="I156" t="s">
        <v>329</v>
      </c>
      <c r="K156" s="19">
        <f t="shared" si="8"/>
        <v>509312</v>
      </c>
      <c r="L156" s="19">
        <f t="shared" ca="1" si="6"/>
        <v>2</v>
      </c>
      <c r="M156" s="19" t="str">
        <f t="shared" ca="1" si="7"/>
        <v>calibracion</v>
      </c>
      <c r="N156" s="19" t="s">
        <v>361</v>
      </c>
    </row>
    <row r="157" spans="1:14" x14ac:dyDescent="0.25">
      <c r="A157" t="s">
        <v>12</v>
      </c>
      <c r="B157">
        <v>795319</v>
      </c>
      <c r="C157" t="s">
        <v>13</v>
      </c>
      <c r="D157" t="s">
        <v>2</v>
      </c>
      <c r="E157">
        <v>10.38</v>
      </c>
      <c r="F157" s="3" t="s">
        <v>3</v>
      </c>
      <c r="G157" t="s">
        <v>328</v>
      </c>
      <c r="H157" t="s">
        <v>330</v>
      </c>
      <c r="I157" t="s">
        <v>329</v>
      </c>
      <c r="K157" s="19">
        <f t="shared" si="8"/>
        <v>795319</v>
      </c>
      <c r="L157" s="19">
        <f t="shared" ca="1" si="6"/>
        <v>6</v>
      </c>
      <c r="M157" s="19" t="str">
        <f t="shared" ca="1" si="7"/>
        <v>calibracion</v>
      </c>
      <c r="N157" s="19" t="s">
        <v>362</v>
      </c>
    </row>
    <row r="158" spans="1:14" x14ac:dyDescent="0.25">
      <c r="A158" t="s">
        <v>132</v>
      </c>
      <c r="B158">
        <v>337301</v>
      </c>
      <c r="C158" t="s">
        <v>133</v>
      </c>
      <c r="D158" t="s">
        <v>2</v>
      </c>
      <c r="E158">
        <v>10.56</v>
      </c>
      <c r="F158" s="3" t="s">
        <v>3</v>
      </c>
      <c r="G158" t="s">
        <v>328</v>
      </c>
      <c r="H158" t="s">
        <v>330</v>
      </c>
      <c r="I158" t="s">
        <v>329</v>
      </c>
      <c r="K158" s="19">
        <f t="shared" si="8"/>
        <v>337301</v>
      </c>
      <c r="L158" s="19">
        <f t="shared" ca="1" si="6"/>
        <v>7</v>
      </c>
      <c r="M158" s="19" t="str">
        <f t="shared" ca="1" si="7"/>
        <v>calibracion</v>
      </c>
      <c r="N158" s="19" t="s">
        <v>362</v>
      </c>
    </row>
    <row r="159" spans="1:14" x14ac:dyDescent="0.25">
      <c r="A159" t="s">
        <v>258</v>
      </c>
      <c r="B159">
        <v>545311</v>
      </c>
      <c r="C159" t="s">
        <v>259</v>
      </c>
      <c r="D159" t="s">
        <v>2</v>
      </c>
      <c r="E159">
        <v>10.58</v>
      </c>
      <c r="F159" s="3" t="s">
        <v>3</v>
      </c>
      <c r="G159" t="s">
        <v>328</v>
      </c>
      <c r="H159" t="s">
        <v>330</v>
      </c>
      <c r="I159" t="s">
        <v>329</v>
      </c>
      <c r="K159" s="19">
        <f t="shared" si="8"/>
        <v>545311</v>
      </c>
      <c r="L159" s="19">
        <f t="shared" ca="1" si="6"/>
        <v>7</v>
      </c>
      <c r="M159" s="19" t="str">
        <f t="shared" ca="1" si="7"/>
        <v>calibracion</v>
      </c>
      <c r="N159" s="19" t="s">
        <v>361</v>
      </c>
    </row>
    <row r="160" spans="1:14" x14ac:dyDescent="0.25">
      <c r="A160" t="s">
        <v>0</v>
      </c>
      <c r="B160">
        <v>795310</v>
      </c>
      <c r="C160" t="s">
        <v>1</v>
      </c>
      <c r="D160" t="s">
        <v>2</v>
      </c>
      <c r="E160">
        <v>10.72</v>
      </c>
      <c r="F160" s="3" t="s">
        <v>3</v>
      </c>
      <c r="G160" t="s">
        <v>328</v>
      </c>
      <c r="H160" t="s">
        <v>330</v>
      </c>
      <c r="I160" t="s">
        <v>329</v>
      </c>
      <c r="K160" s="19">
        <f t="shared" si="8"/>
        <v>795310</v>
      </c>
      <c r="L160" s="19">
        <f t="shared" ca="1" si="6"/>
        <v>6</v>
      </c>
      <c r="M160" s="19" t="str">
        <f t="shared" ca="1" si="7"/>
        <v>calibracion</v>
      </c>
      <c r="N160" s="19" t="s">
        <v>362</v>
      </c>
    </row>
    <row r="161" spans="2:14" x14ac:dyDescent="0.25">
      <c r="B161" t="s">
        <v>363</v>
      </c>
      <c r="K161" s="19" t="str">
        <f t="shared" si="8"/>
        <v/>
      </c>
      <c r="L161" s="19" t="str">
        <f t="shared" ca="1" si="6"/>
        <v/>
      </c>
      <c r="M161" s="19" t="str">
        <f t="shared" si="7"/>
        <v/>
      </c>
      <c r="N161" s="19" t="s">
        <v>363</v>
      </c>
    </row>
    <row r="162" spans="2:14" x14ac:dyDescent="0.25">
      <c r="B162" t="s">
        <v>363</v>
      </c>
      <c r="K162" s="19" t="str">
        <f t="shared" si="8"/>
        <v/>
      </c>
      <c r="L162" s="19" t="str">
        <f t="shared" ca="1" si="6"/>
        <v/>
      </c>
      <c r="M162" s="19" t="str">
        <f t="shared" si="7"/>
        <v/>
      </c>
      <c r="N162" s="19" t="s">
        <v>363</v>
      </c>
    </row>
    <row r="163" spans="2:14" x14ac:dyDescent="0.25">
      <c r="B163" t="s">
        <v>363</v>
      </c>
      <c r="K163" s="19" t="str">
        <f t="shared" si="8"/>
        <v/>
      </c>
      <c r="L163" s="19" t="str">
        <f t="shared" ca="1" si="6"/>
        <v/>
      </c>
      <c r="M163" s="19" t="str">
        <f t="shared" si="7"/>
        <v/>
      </c>
      <c r="N163" s="19" t="s">
        <v>363</v>
      </c>
    </row>
    <row r="164" spans="2:14" x14ac:dyDescent="0.25">
      <c r="B164" t="s">
        <v>363</v>
      </c>
      <c r="K164" s="19" t="str">
        <f t="shared" si="8"/>
        <v/>
      </c>
      <c r="L164" s="19" t="str">
        <f t="shared" ca="1" si="6"/>
        <v/>
      </c>
      <c r="M164" s="19" t="str">
        <f t="shared" si="7"/>
        <v/>
      </c>
      <c r="N164" s="19" t="s">
        <v>363</v>
      </c>
    </row>
    <row r="165" spans="2:14" x14ac:dyDescent="0.25">
      <c r="B165" t="s">
        <v>363</v>
      </c>
      <c r="K165" s="19" t="str">
        <f t="shared" si="8"/>
        <v/>
      </c>
      <c r="L165" s="19" t="str">
        <f t="shared" ca="1" si="6"/>
        <v/>
      </c>
      <c r="M165" s="19" t="str">
        <f t="shared" si="7"/>
        <v/>
      </c>
      <c r="N165" s="19" t="s">
        <v>363</v>
      </c>
    </row>
    <row r="166" spans="2:14" x14ac:dyDescent="0.25">
      <c r="B166" t="s">
        <v>363</v>
      </c>
      <c r="K166" s="19" t="str">
        <f t="shared" si="8"/>
        <v/>
      </c>
      <c r="L166" s="19" t="str">
        <f t="shared" ca="1" si="6"/>
        <v/>
      </c>
      <c r="M166" s="19" t="str">
        <f t="shared" si="7"/>
        <v/>
      </c>
      <c r="N166" s="19" t="s">
        <v>363</v>
      </c>
    </row>
    <row r="167" spans="2:14" x14ac:dyDescent="0.25">
      <c r="B167" t="s">
        <v>363</v>
      </c>
      <c r="K167" s="19" t="str">
        <f t="shared" si="8"/>
        <v/>
      </c>
      <c r="L167" s="19" t="str">
        <f t="shared" ca="1" si="6"/>
        <v/>
      </c>
      <c r="M167" s="19" t="str">
        <f t="shared" si="7"/>
        <v/>
      </c>
      <c r="N167" s="19" t="s">
        <v>363</v>
      </c>
    </row>
    <row r="168" spans="2:14" x14ac:dyDescent="0.25">
      <c r="B168" t="s">
        <v>363</v>
      </c>
      <c r="K168" s="19" t="str">
        <f t="shared" si="8"/>
        <v/>
      </c>
      <c r="L168" s="19" t="str">
        <f t="shared" ca="1" si="6"/>
        <v/>
      </c>
      <c r="M168" s="19" t="str">
        <f t="shared" si="7"/>
        <v/>
      </c>
      <c r="N168" s="19" t="s">
        <v>363</v>
      </c>
    </row>
    <row r="169" spans="2:14" x14ac:dyDescent="0.25">
      <c r="B169" t="s">
        <v>363</v>
      </c>
      <c r="K169" s="19" t="str">
        <f t="shared" si="8"/>
        <v/>
      </c>
      <c r="L169" s="19" t="str">
        <f t="shared" ca="1" si="6"/>
        <v/>
      </c>
      <c r="M169" s="19" t="str">
        <f t="shared" si="7"/>
        <v/>
      </c>
      <c r="N169" s="19" t="s">
        <v>363</v>
      </c>
    </row>
    <row r="170" spans="2:14" x14ac:dyDescent="0.25">
      <c r="B170" t="s">
        <v>363</v>
      </c>
      <c r="K170" s="19" t="str">
        <f t="shared" si="8"/>
        <v/>
      </c>
      <c r="L170" s="19" t="str">
        <f t="shared" ca="1" si="6"/>
        <v/>
      </c>
      <c r="M170" s="19" t="str">
        <f t="shared" si="7"/>
        <v/>
      </c>
      <c r="N170" s="19" t="s">
        <v>363</v>
      </c>
    </row>
    <row r="171" spans="2:14" x14ac:dyDescent="0.25">
      <c r="B171" t="s">
        <v>363</v>
      </c>
      <c r="K171" s="19" t="str">
        <f t="shared" si="8"/>
        <v/>
      </c>
      <c r="L171" s="19" t="str">
        <f t="shared" ca="1" si="6"/>
        <v/>
      </c>
      <c r="M171" s="19" t="str">
        <f t="shared" si="7"/>
        <v/>
      </c>
      <c r="N171" s="19" t="s">
        <v>363</v>
      </c>
    </row>
    <row r="172" spans="2:14" x14ac:dyDescent="0.25">
      <c r="B172" t="s">
        <v>363</v>
      </c>
      <c r="K172" s="19" t="str">
        <f t="shared" si="8"/>
        <v/>
      </c>
      <c r="L172" s="19" t="str">
        <f t="shared" ca="1" si="6"/>
        <v/>
      </c>
      <c r="M172" s="19" t="str">
        <f t="shared" si="7"/>
        <v/>
      </c>
      <c r="N172" s="19" t="s">
        <v>363</v>
      </c>
    </row>
    <row r="173" spans="2:14" x14ac:dyDescent="0.25">
      <c r="B173" t="s">
        <v>363</v>
      </c>
      <c r="K173" s="19" t="str">
        <f t="shared" si="8"/>
        <v/>
      </c>
      <c r="L173" s="19" t="str">
        <f t="shared" ca="1" si="6"/>
        <v/>
      </c>
      <c r="M173" s="19" t="str">
        <f t="shared" si="7"/>
        <v/>
      </c>
      <c r="N173" s="19" t="s">
        <v>363</v>
      </c>
    </row>
    <row r="174" spans="2:14" x14ac:dyDescent="0.25">
      <c r="B174" t="s">
        <v>363</v>
      </c>
      <c r="K174" s="19" t="str">
        <f t="shared" si="8"/>
        <v/>
      </c>
      <c r="L174" s="19" t="str">
        <f t="shared" ca="1" si="6"/>
        <v/>
      </c>
      <c r="M174" s="19" t="str">
        <f t="shared" si="7"/>
        <v/>
      </c>
      <c r="N174" s="19" t="s">
        <v>363</v>
      </c>
    </row>
    <row r="175" spans="2:14" x14ac:dyDescent="0.25">
      <c r="B175" t="s">
        <v>363</v>
      </c>
      <c r="K175" s="19" t="str">
        <f t="shared" si="8"/>
        <v/>
      </c>
      <c r="L175" s="19" t="str">
        <f t="shared" ca="1" si="6"/>
        <v/>
      </c>
      <c r="M175" s="19" t="str">
        <f t="shared" si="7"/>
        <v/>
      </c>
      <c r="N175" s="19" t="s">
        <v>363</v>
      </c>
    </row>
    <row r="176" spans="2:14" x14ac:dyDescent="0.25">
      <c r="B176" t="s">
        <v>363</v>
      </c>
      <c r="K176" s="19" t="str">
        <f t="shared" si="8"/>
        <v/>
      </c>
      <c r="L176" s="19" t="str">
        <f t="shared" ca="1" si="6"/>
        <v/>
      </c>
      <c r="M176" s="19" t="str">
        <f t="shared" si="7"/>
        <v/>
      </c>
      <c r="N176" s="19" t="s">
        <v>363</v>
      </c>
    </row>
    <row r="177" spans="2:14" x14ac:dyDescent="0.25">
      <c r="B177" t="s">
        <v>363</v>
      </c>
      <c r="K177" s="19" t="str">
        <f t="shared" si="8"/>
        <v/>
      </c>
      <c r="L177" s="19" t="str">
        <f t="shared" ca="1" si="6"/>
        <v/>
      </c>
      <c r="M177" s="19" t="str">
        <f t="shared" si="7"/>
        <v/>
      </c>
      <c r="N177" s="19" t="s">
        <v>363</v>
      </c>
    </row>
    <row r="178" spans="2:14" x14ac:dyDescent="0.25">
      <c r="B178" t="s">
        <v>363</v>
      </c>
      <c r="K178" s="19" t="str">
        <f t="shared" si="8"/>
        <v/>
      </c>
      <c r="L178" s="19" t="str">
        <f t="shared" ca="1" si="6"/>
        <v/>
      </c>
      <c r="M178" s="19" t="str">
        <f t="shared" si="7"/>
        <v/>
      </c>
      <c r="N178" s="19" t="s">
        <v>363</v>
      </c>
    </row>
    <row r="179" spans="2:14" x14ac:dyDescent="0.25">
      <c r="B179" t="s">
        <v>363</v>
      </c>
      <c r="K179" s="19" t="str">
        <f t="shared" si="8"/>
        <v/>
      </c>
      <c r="L179" s="19" t="str">
        <f t="shared" ca="1" si="6"/>
        <v/>
      </c>
      <c r="M179" s="19" t="str">
        <f t="shared" si="7"/>
        <v/>
      </c>
      <c r="N179" s="19" t="s">
        <v>363</v>
      </c>
    </row>
    <row r="180" spans="2:14" x14ac:dyDescent="0.25">
      <c r="B180" t="s">
        <v>363</v>
      </c>
      <c r="K180" s="19" t="str">
        <f t="shared" si="8"/>
        <v/>
      </c>
      <c r="L180" s="19" t="str">
        <f t="shared" ca="1" si="6"/>
        <v/>
      </c>
      <c r="M180" s="19" t="str">
        <f t="shared" si="7"/>
        <v/>
      </c>
      <c r="N180" s="19" t="s">
        <v>363</v>
      </c>
    </row>
    <row r="181" spans="2:14" x14ac:dyDescent="0.25">
      <c r="B181" t="s">
        <v>363</v>
      </c>
      <c r="K181" s="19" t="str">
        <f t="shared" si="8"/>
        <v/>
      </c>
      <c r="L181" s="19" t="str">
        <f t="shared" ca="1" si="6"/>
        <v/>
      </c>
      <c r="M181" s="19" t="str">
        <f t="shared" si="7"/>
        <v/>
      </c>
      <c r="N181" s="19" t="s">
        <v>363</v>
      </c>
    </row>
    <row r="182" spans="2:14" x14ac:dyDescent="0.25">
      <c r="B182" t="s">
        <v>363</v>
      </c>
      <c r="K182" s="19" t="str">
        <f t="shared" si="8"/>
        <v/>
      </c>
      <c r="L182" s="19" t="str">
        <f t="shared" ca="1" si="6"/>
        <v/>
      </c>
      <c r="M182" s="19" t="str">
        <f t="shared" si="7"/>
        <v/>
      </c>
      <c r="N182" s="19" t="s">
        <v>363</v>
      </c>
    </row>
    <row r="183" spans="2:14" x14ac:dyDescent="0.25">
      <c r="B183" t="s">
        <v>363</v>
      </c>
      <c r="K183" s="19" t="str">
        <f t="shared" si="8"/>
        <v/>
      </c>
      <c r="L183" s="19" t="str">
        <f t="shared" ca="1" si="6"/>
        <v/>
      </c>
      <c r="M183" s="19" t="str">
        <f t="shared" si="7"/>
        <v/>
      </c>
      <c r="N183" s="19" t="s">
        <v>363</v>
      </c>
    </row>
    <row r="184" spans="2:14" x14ac:dyDescent="0.25">
      <c r="B184" t="s">
        <v>363</v>
      </c>
      <c r="K184" s="19" t="str">
        <f t="shared" si="8"/>
        <v/>
      </c>
      <c r="L184" s="19" t="str">
        <f t="shared" ca="1" si="6"/>
        <v/>
      </c>
      <c r="M184" s="19" t="str">
        <f t="shared" si="7"/>
        <v/>
      </c>
      <c r="N184" s="19" t="s">
        <v>363</v>
      </c>
    </row>
    <row r="185" spans="2:14" x14ac:dyDescent="0.25">
      <c r="B185" t="s">
        <v>363</v>
      </c>
      <c r="K185" s="19" t="str">
        <f t="shared" si="8"/>
        <v/>
      </c>
      <c r="L185" s="19" t="str">
        <f t="shared" ca="1" si="6"/>
        <v/>
      </c>
      <c r="M185" s="19" t="str">
        <f t="shared" si="7"/>
        <v/>
      </c>
      <c r="N185" s="19" t="s">
        <v>363</v>
      </c>
    </row>
    <row r="186" spans="2:14" x14ac:dyDescent="0.25">
      <c r="B186" t="s">
        <v>363</v>
      </c>
      <c r="K186" s="19" t="str">
        <f t="shared" si="8"/>
        <v/>
      </c>
      <c r="L186" s="19" t="str">
        <f t="shared" ca="1" si="6"/>
        <v/>
      </c>
      <c r="M186" s="19" t="str">
        <f t="shared" si="7"/>
        <v/>
      </c>
      <c r="N186" s="19" t="s">
        <v>363</v>
      </c>
    </row>
    <row r="187" spans="2:14" x14ac:dyDescent="0.25">
      <c r="B187" t="s">
        <v>363</v>
      </c>
      <c r="K187" s="19" t="str">
        <f t="shared" si="8"/>
        <v/>
      </c>
      <c r="L187" s="19" t="str">
        <f t="shared" ca="1" si="6"/>
        <v/>
      </c>
      <c r="M187" s="19" t="str">
        <f t="shared" si="7"/>
        <v/>
      </c>
      <c r="N187" s="19" t="s">
        <v>363</v>
      </c>
    </row>
    <row r="188" spans="2:14" x14ac:dyDescent="0.25">
      <c r="B188" t="s">
        <v>363</v>
      </c>
      <c r="K188" s="19" t="str">
        <f t="shared" si="8"/>
        <v/>
      </c>
      <c r="L188" s="19" t="str">
        <f t="shared" ca="1" si="6"/>
        <v/>
      </c>
      <c r="M188" s="19" t="str">
        <f t="shared" si="7"/>
        <v/>
      </c>
      <c r="N188" s="19" t="s">
        <v>363</v>
      </c>
    </row>
    <row r="189" spans="2:14" x14ac:dyDescent="0.25">
      <c r="B189" t="s">
        <v>363</v>
      </c>
      <c r="K189" s="19" t="str">
        <f t="shared" si="8"/>
        <v/>
      </c>
      <c r="L189" s="19" t="str">
        <f t="shared" ca="1" si="6"/>
        <v/>
      </c>
      <c r="M189" s="19" t="str">
        <f t="shared" si="7"/>
        <v/>
      </c>
      <c r="N189" s="19" t="s">
        <v>363</v>
      </c>
    </row>
    <row r="190" spans="2:14" x14ac:dyDescent="0.25">
      <c r="B190" t="s">
        <v>363</v>
      </c>
      <c r="K190" s="19" t="str">
        <f t="shared" si="8"/>
        <v/>
      </c>
      <c r="L190" s="19" t="str">
        <f t="shared" ca="1" si="6"/>
        <v/>
      </c>
      <c r="M190" s="19" t="str">
        <f t="shared" si="7"/>
        <v/>
      </c>
      <c r="N190" s="19" t="s">
        <v>363</v>
      </c>
    </row>
    <row r="191" spans="2:14" x14ac:dyDescent="0.25">
      <c r="B191" t="s">
        <v>363</v>
      </c>
      <c r="K191" s="19" t="str">
        <f t="shared" si="8"/>
        <v/>
      </c>
      <c r="L191" s="19" t="str">
        <f t="shared" ca="1" si="6"/>
        <v/>
      </c>
      <c r="M191" s="19" t="str">
        <f t="shared" si="7"/>
        <v/>
      </c>
      <c r="N191" s="19" t="s">
        <v>363</v>
      </c>
    </row>
    <row r="192" spans="2:14" x14ac:dyDescent="0.25">
      <c r="B192" t="s">
        <v>363</v>
      </c>
      <c r="K192" s="19" t="str">
        <f t="shared" si="8"/>
        <v/>
      </c>
      <c r="L192" s="19" t="str">
        <f t="shared" ca="1" si="6"/>
        <v/>
      </c>
      <c r="M192" s="19" t="str">
        <f t="shared" si="7"/>
        <v/>
      </c>
      <c r="N192" s="19" t="s">
        <v>363</v>
      </c>
    </row>
    <row r="193" spans="2:14" x14ac:dyDescent="0.25">
      <c r="B193" t="s">
        <v>363</v>
      </c>
      <c r="K193" s="19" t="str">
        <f t="shared" si="8"/>
        <v/>
      </c>
      <c r="L193" s="19" t="str">
        <f t="shared" ca="1" si="6"/>
        <v/>
      </c>
      <c r="M193" s="19" t="str">
        <f t="shared" si="7"/>
        <v/>
      </c>
      <c r="N193" s="19" t="s">
        <v>363</v>
      </c>
    </row>
    <row r="194" spans="2:14" x14ac:dyDescent="0.25">
      <c r="B194" t="s">
        <v>363</v>
      </c>
      <c r="K194" s="19" t="str">
        <f t="shared" si="8"/>
        <v/>
      </c>
      <c r="L194" s="19" t="str">
        <f t="shared" ref="L194:L257" ca="1" si="9">IF(A194="","",RANDBETWEEN(1,10))</f>
        <v/>
      </c>
      <c r="M194" s="19" t="str">
        <f t="shared" ref="M194:M257" si="10">IF(A194="","",IF(L194&lt;8,"calibracion","validacion"))</f>
        <v/>
      </c>
      <c r="N194" s="19" t="s">
        <v>363</v>
      </c>
    </row>
    <row r="195" spans="2:14" x14ac:dyDescent="0.25">
      <c r="B195" t="s">
        <v>363</v>
      </c>
      <c r="K195" s="19" t="str">
        <f t="shared" ref="K195:K258" si="11">IF(C195="","",C195-((TRUNC((C195/1000000),0))*1000000))</f>
        <v/>
      </c>
      <c r="L195" s="19" t="str">
        <f t="shared" ca="1" si="9"/>
        <v/>
      </c>
      <c r="M195" s="19" t="str">
        <f t="shared" si="10"/>
        <v/>
      </c>
      <c r="N195" s="19" t="s">
        <v>363</v>
      </c>
    </row>
    <row r="196" spans="2:14" x14ac:dyDescent="0.25">
      <c r="B196" t="s">
        <v>363</v>
      </c>
      <c r="K196" s="19" t="str">
        <f t="shared" si="11"/>
        <v/>
      </c>
      <c r="L196" s="19" t="str">
        <f t="shared" ca="1" si="9"/>
        <v/>
      </c>
      <c r="M196" s="19" t="str">
        <f t="shared" si="10"/>
        <v/>
      </c>
      <c r="N196" s="19" t="s">
        <v>363</v>
      </c>
    </row>
    <row r="197" spans="2:14" x14ac:dyDescent="0.25">
      <c r="B197" t="s">
        <v>363</v>
      </c>
      <c r="K197" s="19" t="str">
        <f t="shared" si="11"/>
        <v/>
      </c>
      <c r="L197" s="19" t="str">
        <f t="shared" ca="1" si="9"/>
        <v/>
      </c>
      <c r="M197" s="19" t="str">
        <f t="shared" si="10"/>
        <v/>
      </c>
      <c r="N197" s="19" t="s">
        <v>363</v>
      </c>
    </row>
    <row r="198" spans="2:14" x14ac:dyDescent="0.25">
      <c r="B198" t="s">
        <v>363</v>
      </c>
      <c r="K198" s="19" t="str">
        <f t="shared" si="11"/>
        <v/>
      </c>
      <c r="L198" s="19" t="str">
        <f t="shared" ca="1" si="9"/>
        <v/>
      </c>
      <c r="M198" s="19" t="str">
        <f t="shared" si="10"/>
        <v/>
      </c>
      <c r="N198" s="19" t="s">
        <v>363</v>
      </c>
    </row>
    <row r="199" spans="2:14" x14ac:dyDescent="0.25">
      <c r="B199" t="s">
        <v>363</v>
      </c>
      <c r="K199" s="19" t="str">
        <f t="shared" si="11"/>
        <v/>
      </c>
      <c r="L199" s="19" t="str">
        <f t="shared" ca="1" si="9"/>
        <v/>
      </c>
      <c r="M199" s="19" t="str">
        <f t="shared" si="10"/>
        <v/>
      </c>
      <c r="N199" s="19" t="s">
        <v>363</v>
      </c>
    </row>
    <row r="200" spans="2:14" x14ac:dyDescent="0.25">
      <c r="B200" t="s">
        <v>363</v>
      </c>
      <c r="K200" s="19" t="str">
        <f t="shared" si="11"/>
        <v/>
      </c>
      <c r="L200" s="19" t="str">
        <f t="shared" ca="1" si="9"/>
        <v/>
      </c>
      <c r="M200" s="19" t="str">
        <f t="shared" si="10"/>
        <v/>
      </c>
      <c r="N200" s="19" t="s">
        <v>363</v>
      </c>
    </row>
    <row r="201" spans="2:14" x14ac:dyDescent="0.25">
      <c r="B201" t="s">
        <v>363</v>
      </c>
      <c r="K201" s="19" t="str">
        <f t="shared" si="11"/>
        <v/>
      </c>
      <c r="L201" s="19" t="str">
        <f t="shared" ca="1" si="9"/>
        <v/>
      </c>
      <c r="M201" s="19" t="str">
        <f t="shared" si="10"/>
        <v/>
      </c>
      <c r="N201" s="19" t="s">
        <v>363</v>
      </c>
    </row>
    <row r="202" spans="2:14" x14ac:dyDescent="0.25">
      <c r="B202" t="s">
        <v>363</v>
      </c>
      <c r="K202" s="19" t="str">
        <f t="shared" si="11"/>
        <v/>
      </c>
      <c r="L202" s="19" t="str">
        <f t="shared" ca="1" si="9"/>
        <v/>
      </c>
      <c r="M202" s="19" t="str">
        <f t="shared" si="10"/>
        <v/>
      </c>
      <c r="N202" s="19" t="s">
        <v>363</v>
      </c>
    </row>
    <row r="203" spans="2:14" x14ac:dyDescent="0.25">
      <c r="B203" t="s">
        <v>363</v>
      </c>
      <c r="K203" s="19" t="str">
        <f t="shared" si="11"/>
        <v/>
      </c>
      <c r="L203" s="19" t="str">
        <f t="shared" ca="1" si="9"/>
        <v/>
      </c>
      <c r="M203" s="19" t="str">
        <f t="shared" si="10"/>
        <v/>
      </c>
      <c r="N203" s="19" t="s">
        <v>363</v>
      </c>
    </row>
    <row r="204" spans="2:14" x14ac:dyDescent="0.25">
      <c r="B204" t="s">
        <v>363</v>
      </c>
      <c r="K204" s="19" t="str">
        <f t="shared" si="11"/>
        <v/>
      </c>
      <c r="L204" s="19" t="str">
        <f t="shared" ca="1" si="9"/>
        <v/>
      </c>
      <c r="M204" s="19" t="str">
        <f t="shared" si="10"/>
        <v/>
      </c>
      <c r="N204" s="19" t="s">
        <v>363</v>
      </c>
    </row>
    <row r="205" spans="2:14" x14ac:dyDescent="0.25">
      <c r="B205" t="s">
        <v>363</v>
      </c>
      <c r="K205" s="19" t="str">
        <f t="shared" si="11"/>
        <v/>
      </c>
      <c r="L205" s="19" t="str">
        <f t="shared" ca="1" si="9"/>
        <v/>
      </c>
      <c r="M205" s="19" t="str">
        <f t="shared" si="10"/>
        <v/>
      </c>
      <c r="N205" s="19" t="s">
        <v>363</v>
      </c>
    </row>
    <row r="206" spans="2:14" x14ac:dyDescent="0.25">
      <c r="B206" t="s">
        <v>363</v>
      </c>
      <c r="K206" s="19" t="str">
        <f t="shared" si="11"/>
        <v/>
      </c>
      <c r="L206" s="19" t="str">
        <f t="shared" ca="1" si="9"/>
        <v/>
      </c>
      <c r="M206" s="19" t="str">
        <f t="shared" si="10"/>
        <v/>
      </c>
      <c r="N206" s="19" t="s">
        <v>363</v>
      </c>
    </row>
    <row r="207" spans="2:14" x14ac:dyDescent="0.25">
      <c r="B207" t="s">
        <v>363</v>
      </c>
      <c r="K207" s="19" t="str">
        <f t="shared" si="11"/>
        <v/>
      </c>
      <c r="L207" s="19" t="str">
        <f t="shared" ca="1" si="9"/>
        <v/>
      </c>
      <c r="M207" s="19" t="str">
        <f t="shared" si="10"/>
        <v/>
      </c>
      <c r="N207" s="19" t="s">
        <v>363</v>
      </c>
    </row>
    <row r="208" spans="2:14" x14ac:dyDescent="0.25">
      <c r="B208" t="s">
        <v>363</v>
      </c>
      <c r="K208" s="19" t="str">
        <f t="shared" si="11"/>
        <v/>
      </c>
      <c r="L208" s="19" t="str">
        <f t="shared" ca="1" si="9"/>
        <v/>
      </c>
      <c r="M208" s="19" t="str">
        <f t="shared" si="10"/>
        <v/>
      </c>
      <c r="N208" s="19" t="s">
        <v>363</v>
      </c>
    </row>
    <row r="209" spans="2:14" x14ac:dyDescent="0.25">
      <c r="B209" t="s">
        <v>363</v>
      </c>
      <c r="K209" s="19" t="str">
        <f t="shared" si="11"/>
        <v/>
      </c>
      <c r="L209" s="19" t="str">
        <f t="shared" ca="1" si="9"/>
        <v/>
      </c>
      <c r="M209" s="19" t="str">
        <f t="shared" si="10"/>
        <v/>
      </c>
      <c r="N209" s="19" t="s">
        <v>363</v>
      </c>
    </row>
    <row r="210" spans="2:14" x14ac:dyDescent="0.25">
      <c r="B210" t="s">
        <v>363</v>
      </c>
      <c r="K210" s="19" t="str">
        <f t="shared" si="11"/>
        <v/>
      </c>
      <c r="L210" s="19" t="str">
        <f t="shared" ca="1" si="9"/>
        <v/>
      </c>
      <c r="M210" s="19" t="str">
        <f t="shared" si="10"/>
        <v/>
      </c>
      <c r="N210" s="19" t="s">
        <v>363</v>
      </c>
    </row>
    <row r="211" spans="2:14" x14ac:dyDescent="0.25">
      <c r="B211" t="s">
        <v>363</v>
      </c>
      <c r="K211" s="19" t="str">
        <f t="shared" si="11"/>
        <v/>
      </c>
      <c r="L211" s="19" t="str">
        <f t="shared" ca="1" si="9"/>
        <v/>
      </c>
      <c r="M211" s="19" t="str">
        <f t="shared" si="10"/>
        <v/>
      </c>
      <c r="N211" s="19" t="s">
        <v>363</v>
      </c>
    </row>
    <row r="212" spans="2:14" x14ac:dyDescent="0.25">
      <c r="B212" t="s">
        <v>363</v>
      </c>
      <c r="K212" s="19" t="str">
        <f t="shared" si="11"/>
        <v/>
      </c>
      <c r="L212" s="19" t="str">
        <f t="shared" ca="1" si="9"/>
        <v/>
      </c>
      <c r="M212" s="19" t="str">
        <f t="shared" si="10"/>
        <v/>
      </c>
      <c r="N212" s="19" t="s">
        <v>363</v>
      </c>
    </row>
    <row r="213" spans="2:14" x14ac:dyDescent="0.25">
      <c r="B213" t="s">
        <v>363</v>
      </c>
      <c r="K213" s="19" t="str">
        <f t="shared" si="11"/>
        <v/>
      </c>
      <c r="L213" s="19" t="str">
        <f t="shared" ca="1" si="9"/>
        <v/>
      </c>
      <c r="M213" s="19" t="str">
        <f t="shared" si="10"/>
        <v/>
      </c>
      <c r="N213" s="19" t="s">
        <v>363</v>
      </c>
    </row>
    <row r="214" spans="2:14" x14ac:dyDescent="0.25">
      <c r="B214" t="s">
        <v>363</v>
      </c>
      <c r="K214" s="19" t="str">
        <f t="shared" si="11"/>
        <v/>
      </c>
      <c r="L214" s="19" t="str">
        <f t="shared" ca="1" si="9"/>
        <v/>
      </c>
      <c r="M214" s="19" t="str">
        <f t="shared" si="10"/>
        <v/>
      </c>
      <c r="N214" s="19" t="s">
        <v>363</v>
      </c>
    </row>
    <row r="215" spans="2:14" x14ac:dyDescent="0.25">
      <c r="B215" t="s">
        <v>363</v>
      </c>
      <c r="K215" s="19" t="str">
        <f t="shared" si="11"/>
        <v/>
      </c>
      <c r="L215" s="19" t="str">
        <f t="shared" ca="1" si="9"/>
        <v/>
      </c>
      <c r="M215" s="19" t="str">
        <f t="shared" si="10"/>
        <v/>
      </c>
      <c r="N215" s="19" t="s">
        <v>363</v>
      </c>
    </row>
    <row r="216" spans="2:14" x14ac:dyDescent="0.25">
      <c r="B216" t="s">
        <v>363</v>
      </c>
      <c r="K216" s="19" t="str">
        <f t="shared" si="11"/>
        <v/>
      </c>
      <c r="L216" s="19" t="str">
        <f t="shared" ca="1" si="9"/>
        <v/>
      </c>
      <c r="M216" s="19" t="str">
        <f t="shared" si="10"/>
        <v/>
      </c>
      <c r="N216" s="19" t="s">
        <v>363</v>
      </c>
    </row>
    <row r="217" spans="2:14" x14ac:dyDescent="0.25">
      <c r="B217" t="s">
        <v>363</v>
      </c>
      <c r="K217" s="19" t="str">
        <f t="shared" si="11"/>
        <v/>
      </c>
      <c r="L217" s="19" t="str">
        <f t="shared" ca="1" si="9"/>
        <v/>
      </c>
      <c r="M217" s="19" t="str">
        <f t="shared" si="10"/>
        <v/>
      </c>
      <c r="N217" s="19" t="s">
        <v>363</v>
      </c>
    </row>
    <row r="218" spans="2:14" x14ac:dyDescent="0.25">
      <c r="B218" t="s">
        <v>363</v>
      </c>
      <c r="K218" s="19" t="str">
        <f t="shared" si="11"/>
        <v/>
      </c>
      <c r="L218" s="19" t="str">
        <f t="shared" ca="1" si="9"/>
        <v/>
      </c>
      <c r="M218" s="19" t="str">
        <f t="shared" si="10"/>
        <v/>
      </c>
      <c r="N218" s="19" t="s">
        <v>363</v>
      </c>
    </row>
    <row r="219" spans="2:14" x14ac:dyDescent="0.25">
      <c r="B219" t="s">
        <v>363</v>
      </c>
      <c r="K219" s="19" t="str">
        <f t="shared" si="11"/>
        <v/>
      </c>
      <c r="L219" s="19" t="str">
        <f t="shared" ca="1" si="9"/>
        <v/>
      </c>
      <c r="M219" s="19" t="str">
        <f t="shared" si="10"/>
        <v/>
      </c>
      <c r="N219" s="19" t="s">
        <v>363</v>
      </c>
    </row>
    <row r="220" spans="2:14" x14ac:dyDescent="0.25">
      <c r="B220" t="s">
        <v>363</v>
      </c>
      <c r="K220" s="19" t="str">
        <f t="shared" si="11"/>
        <v/>
      </c>
      <c r="L220" s="19" t="str">
        <f t="shared" ca="1" si="9"/>
        <v/>
      </c>
      <c r="M220" s="19" t="str">
        <f t="shared" si="10"/>
        <v/>
      </c>
      <c r="N220" s="19" t="s">
        <v>363</v>
      </c>
    </row>
    <row r="221" spans="2:14" x14ac:dyDescent="0.25">
      <c r="B221" t="s">
        <v>363</v>
      </c>
      <c r="K221" s="19" t="str">
        <f t="shared" si="11"/>
        <v/>
      </c>
      <c r="L221" s="19" t="str">
        <f t="shared" ca="1" si="9"/>
        <v/>
      </c>
      <c r="M221" s="19" t="str">
        <f t="shared" si="10"/>
        <v/>
      </c>
      <c r="N221" s="19" t="s">
        <v>363</v>
      </c>
    </row>
    <row r="222" spans="2:14" x14ac:dyDescent="0.25">
      <c r="B222" t="s">
        <v>363</v>
      </c>
      <c r="K222" s="19" t="str">
        <f t="shared" si="11"/>
        <v/>
      </c>
      <c r="L222" s="19" t="str">
        <f t="shared" ca="1" si="9"/>
        <v/>
      </c>
      <c r="M222" s="19" t="str">
        <f t="shared" si="10"/>
        <v/>
      </c>
      <c r="N222" s="19" t="s">
        <v>363</v>
      </c>
    </row>
    <row r="223" spans="2:14" x14ac:dyDescent="0.25">
      <c r="B223" t="s">
        <v>363</v>
      </c>
      <c r="K223" s="19" t="str">
        <f t="shared" si="11"/>
        <v/>
      </c>
      <c r="L223" s="19" t="str">
        <f t="shared" ca="1" si="9"/>
        <v/>
      </c>
      <c r="M223" s="19" t="str">
        <f t="shared" si="10"/>
        <v/>
      </c>
      <c r="N223" s="19" t="s">
        <v>363</v>
      </c>
    </row>
    <row r="224" spans="2:14" x14ac:dyDescent="0.25">
      <c r="B224" t="s">
        <v>363</v>
      </c>
      <c r="K224" s="19" t="str">
        <f t="shared" si="11"/>
        <v/>
      </c>
      <c r="L224" s="19" t="str">
        <f t="shared" ca="1" si="9"/>
        <v/>
      </c>
      <c r="M224" s="19" t="str">
        <f t="shared" si="10"/>
        <v/>
      </c>
      <c r="N224" s="19" t="s">
        <v>363</v>
      </c>
    </row>
    <row r="225" spans="2:14" x14ac:dyDescent="0.25">
      <c r="B225" t="s">
        <v>363</v>
      </c>
      <c r="K225" s="19" t="str">
        <f t="shared" si="11"/>
        <v/>
      </c>
      <c r="L225" s="19" t="str">
        <f t="shared" ca="1" si="9"/>
        <v/>
      </c>
      <c r="M225" s="19" t="str">
        <f t="shared" si="10"/>
        <v/>
      </c>
      <c r="N225" s="19" t="s">
        <v>363</v>
      </c>
    </row>
    <row r="226" spans="2:14" x14ac:dyDescent="0.25">
      <c r="B226" t="s">
        <v>363</v>
      </c>
      <c r="K226" s="19" t="str">
        <f t="shared" si="11"/>
        <v/>
      </c>
      <c r="L226" s="19" t="str">
        <f t="shared" ca="1" si="9"/>
        <v/>
      </c>
      <c r="M226" s="19" t="str">
        <f t="shared" si="10"/>
        <v/>
      </c>
      <c r="N226" s="19" t="s">
        <v>363</v>
      </c>
    </row>
    <row r="227" spans="2:14" x14ac:dyDescent="0.25">
      <c r="B227" t="s">
        <v>363</v>
      </c>
      <c r="K227" s="19" t="str">
        <f t="shared" si="11"/>
        <v/>
      </c>
      <c r="L227" s="19" t="str">
        <f t="shared" ca="1" si="9"/>
        <v/>
      </c>
      <c r="M227" s="19" t="str">
        <f t="shared" si="10"/>
        <v/>
      </c>
      <c r="N227" s="19" t="s">
        <v>363</v>
      </c>
    </row>
    <row r="228" spans="2:14" x14ac:dyDescent="0.25">
      <c r="B228" t="s">
        <v>363</v>
      </c>
      <c r="K228" s="19" t="str">
        <f t="shared" si="11"/>
        <v/>
      </c>
      <c r="L228" s="19" t="str">
        <f t="shared" ca="1" si="9"/>
        <v/>
      </c>
      <c r="M228" s="19" t="str">
        <f t="shared" si="10"/>
        <v/>
      </c>
      <c r="N228" s="19" t="s">
        <v>363</v>
      </c>
    </row>
    <row r="229" spans="2:14" x14ac:dyDescent="0.25">
      <c r="B229" t="s">
        <v>363</v>
      </c>
      <c r="K229" s="19" t="str">
        <f t="shared" si="11"/>
        <v/>
      </c>
      <c r="L229" s="19" t="str">
        <f t="shared" ca="1" si="9"/>
        <v/>
      </c>
      <c r="M229" s="19" t="str">
        <f t="shared" si="10"/>
        <v/>
      </c>
      <c r="N229" s="19" t="s">
        <v>363</v>
      </c>
    </row>
    <row r="230" spans="2:14" x14ac:dyDescent="0.25">
      <c r="B230" t="s">
        <v>363</v>
      </c>
      <c r="K230" s="19" t="str">
        <f t="shared" si="11"/>
        <v/>
      </c>
      <c r="L230" s="19" t="str">
        <f t="shared" ca="1" si="9"/>
        <v/>
      </c>
      <c r="M230" s="19" t="str">
        <f t="shared" si="10"/>
        <v/>
      </c>
      <c r="N230" s="19" t="s">
        <v>363</v>
      </c>
    </row>
    <row r="231" spans="2:14" x14ac:dyDescent="0.25">
      <c r="B231" t="s">
        <v>363</v>
      </c>
      <c r="K231" s="19" t="str">
        <f t="shared" si="11"/>
        <v/>
      </c>
      <c r="L231" s="19" t="str">
        <f t="shared" ca="1" si="9"/>
        <v/>
      </c>
      <c r="M231" s="19" t="str">
        <f t="shared" si="10"/>
        <v/>
      </c>
      <c r="N231" s="19" t="s">
        <v>363</v>
      </c>
    </row>
    <row r="232" spans="2:14" x14ac:dyDescent="0.25">
      <c r="B232" t="s">
        <v>363</v>
      </c>
      <c r="K232" s="19" t="str">
        <f t="shared" si="11"/>
        <v/>
      </c>
      <c r="L232" s="19" t="str">
        <f t="shared" ca="1" si="9"/>
        <v/>
      </c>
      <c r="M232" s="19" t="str">
        <f t="shared" si="10"/>
        <v/>
      </c>
      <c r="N232" s="19" t="s">
        <v>363</v>
      </c>
    </row>
    <row r="233" spans="2:14" x14ac:dyDescent="0.25">
      <c r="B233" t="s">
        <v>363</v>
      </c>
      <c r="K233" s="19" t="str">
        <f t="shared" si="11"/>
        <v/>
      </c>
      <c r="L233" s="19" t="str">
        <f t="shared" ca="1" si="9"/>
        <v/>
      </c>
      <c r="M233" s="19" t="str">
        <f t="shared" si="10"/>
        <v/>
      </c>
      <c r="N233" s="19" t="s">
        <v>363</v>
      </c>
    </row>
    <row r="234" spans="2:14" x14ac:dyDescent="0.25">
      <c r="B234" t="s">
        <v>363</v>
      </c>
      <c r="K234" s="19" t="str">
        <f t="shared" si="11"/>
        <v/>
      </c>
      <c r="L234" s="19" t="str">
        <f t="shared" ca="1" si="9"/>
        <v/>
      </c>
      <c r="M234" s="19" t="str">
        <f t="shared" si="10"/>
        <v/>
      </c>
      <c r="N234" s="19" t="s">
        <v>363</v>
      </c>
    </row>
    <row r="235" spans="2:14" x14ac:dyDescent="0.25">
      <c r="B235" t="s">
        <v>363</v>
      </c>
      <c r="K235" s="19" t="str">
        <f t="shared" si="11"/>
        <v/>
      </c>
      <c r="L235" s="19" t="str">
        <f t="shared" ca="1" si="9"/>
        <v/>
      </c>
      <c r="M235" s="19" t="str">
        <f t="shared" si="10"/>
        <v/>
      </c>
      <c r="N235" s="19" t="s">
        <v>363</v>
      </c>
    </row>
    <row r="236" spans="2:14" x14ac:dyDescent="0.25">
      <c r="B236" t="s">
        <v>363</v>
      </c>
      <c r="K236" s="19" t="str">
        <f t="shared" si="11"/>
        <v/>
      </c>
      <c r="L236" s="19" t="str">
        <f t="shared" ca="1" si="9"/>
        <v/>
      </c>
      <c r="M236" s="19" t="str">
        <f t="shared" si="10"/>
        <v/>
      </c>
      <c r="N236" s="19" t="s">
        <v>363</v>
      </c>
    </row>
    <row r="237" spans="2:14" x14ac:dyDescent="0.25">
      <c r="B237" t="s">
        <v>363</v>
      </c>
      <c r="K237" s="19" t="str">
        <f t="shared" si="11"/>
        <v/>
      </c>
      <c r="L237" s="19" t="str">
        <f t="shared" ca="1" si="9"/>
        <v/>
      </c>
      <c r="M237" s="19" t="str">
        <f t="shared" si="10"/>
        <v/>
      </c>
      <c r="N237" s="19" t="s">
        <v>363</v>
      </c>
    </row>
    <row r="238" spans="2:14" x14ac:dyDescent="0.25">
      <c r="B238" t="s">
        <v>363</v>
      </c>
      <c r="K238" s="19" t="str">
        <f t="shared" si="11"/>
        <v/>
      </c>
      <c r="L238" s="19" t="str">
        <f t="shared" ca="1" si="9"/>
        <v/>
      </c>
      <c r="M238" s="19" t="str">
        <f t="shared" si="10"/>
        <v/>
      </c>
      <c r="N238" s="19" t="s">
        <v>363</v>
      </c>
    </row>
    <row r="239" spans="2:14" x14ac:dyDescent="0.25">
      <c r="B239" t="s">
        <v>363</v>
      </c>
      <c r="K239" s="19" t="str">
        <f t="shared" si="11"/>
        <v/>
      </c>
      <c r="L239" s="19" t="str">
        <f t="shared" ca="1" si="9"/>
        <v/>
      </c>
      <c r="M239" s="19" t="str">
        <f t="shared" si="10"/>
        <v/>
      </c>
      <c r="N239" s="19" t="s">
        <v>363</v>
      </c>
    </row>
    <row r="240" spans="2:14" x14ac:dyDescent="0.25">
      <c r="B240" t="s">
        <v>363</v>
      </c>
      <c r="K240" s="19" t="str">
        <f t="shared" si="11"/>
        <v/>
      </c>
      <c r="L240" s="19" t="str">
        <f t="shared" ca="1" si="9"/>
        <v/>
      </c>
      <c r="M240" s="19" t="str">
        <f t="shared" si="10"/>
        <v/>
      </c>
      <c r="N240" s="19" t="s">
        <v>363</v>
      </c>
    </row>
    <row r="241" spans="2:14" x14ac:dyDescent="0.25">
      <c r="B241" t="s">
        <v>363</v>
      </c>
      <c r="K241" s="19" t="str">
        <f t="shared" si="11"/>
        <v/>
      </c>
      <c r="L241" s="19" t="str">
        <f t="shared" ca="1" si="9"/>
        <v/>
      </c>
      <c r="M241" s="19" t="str">
        <f t="shared" si="10"/>
        <v/>
      </c>
      <c r="N241" s="19" t="s">
        <v>363</v>
      </c>
    </row>
    <row r="242" spans="2:14" x14ac:dyDescent="0.25">
      <c r="B242" t="s">
        <v>363</v>
      </c>
      <c r="K242" s="19" t="str">
        <f t="shared" si="11"/>
        <v/>
      </c>
      <c r="L242" s="19" t="str">
        <f t="shared" ca="1" si="9"/>
        <v/>
      </c>
      <c r="M242" s="19" t="str">
        <f t="shared" si="10"/>
        <v/>
      </c>
      <c r="N242" s="19" t="s">
        <v>363</v>
      </c>
    </row>
    <row r="243" spans="2:14" x14ac:dyDescent="0.25">
      <c r="B243" t="s">
        <v>363</v>
      </c>
      <c r="K243" s="19" t="str">
        <f t="shared" si="11"/>
        <v/>
      </c>
      <c r="L243" s="19" t="str">
        <f t="shared" ca="1" si="9"/>
        <v/>
      </c>
      <c r="M243" s="19" t="str">
        <f t="shared" si="10"/>
        <v/>
      </c>
      <c r="N243" s="19" t="s">
        <v>363</v>
      </c>
    </row>
    <row r="244" spans="2:14" x14ac:dyDescent="0.25">
      <c r="B244" t="s">
        <v>363</v>
      </c>
      <c r="K244" s="19" t="str">
        <f t="shared" si="11"/>
        <v/>
      </c>
      <c r="L244" s="19" t="str">
        <f t="shared" ca="1" si="9"/>
        <v/>
      </c>
      <c r="M244" s="19" t="str">
        <f t="shared" si="10"/>
        <v/>
      </c>
      <c r="N244" s="19" t="s">
        <v>363</v>
      </c>
    </row>
    <row r="245" spans="2:14" x14ac:dyDescent="0.25">
      <c r="B245" t="s">
        <v>363</v>
      </c>
      <c r="K245" s="19" t="str">
        <f t="shared" si="11"/>
        <v/>
      </c>
      <c r="L245" s="19" t="str">
        <f t="shared" ca="1" si="9"/>
        <v/>
      </c>
      <c r="M245" s="19" t="str">
        <f t="shared" si="10"/>
        <v/>
      </c>
      <c r="N245" s="19" t="s">
        <v>363</v>
      </c>
    </row>
    <row r="246" spans="2:14" x14ac:dyDescent="0.25">
      <c r="B246" t="s">
        <v>363</v>
      </c>
      <c r="K246" s="19" t="str">
        <f t="shared" si="11"/>
        <v/>
      </c>
      <c r="L246" s="19" t="str">
        <f t="shared" ca="1" si="9"/>
        <v/>
      </c>
      <c r="M246" s="19" t="str">
        <f t="shared" si="10"/>
        <v/>
      </c>
      <c r="N246" s="19" t="s">
        <v>363</v>
      </c>
    </row>
    <row r="247" spans="2:14" x14ac:dyDescent="0.25">
      <c r="B247" t="s">
        <v>363</v>
      </c>
      <c r="K247" s="19" t="str">
        <f t="shared" si="11"/>
        <v/>
      </c>
      <c r="L247" s="19" t="str">
        <f t="shared" ca="1" si="9"/>
        <v/>
      </c>
      <c r="M247" s="19" t="str">
        <f t="shared" si="10"/>
        <v/>
      </c>
      <c r="N247" s="19" t="s">
        <v>363</v>
      </c>
    </row>
    <row r="248" spans="2:14" x14ac:dyDescent="0.25">
      <c r="B248" t="s">
        <v>363</v>
      </c>
      <c r="K248" s="19" t="str">
        <f t="shared" si="11"/>
        <v/>
      </c>
      <c r="L248" s="19" t="str">
        <f t="shared" ca="1" si="9"/>
        <v/>
      </c>
      <c r="M248" s="19" t="str">
        <f t="shared" si="10"/>
        <v/>
      </c>
      <c r="N248" s="19" t="s">
        <v>363</v>
      </c>
    </row>
    <row r="249" spans="2:14" x14ac:dyDescent="0.25">
      <c r="B249" t="s">
        <v>363</v>
      </c>
      <c r="K249" s="19" t="str">
        <f t="shared" si="11"/>
        <v/>
      </c>
      <c r="L249" s="19" t="str">
        <f t="shared" ca="1" si="9"/>
        <v/>
      </c>
      <c r="M249" s="19" t="str">
        <f t="shared" si="10"/>
        <v/>
      </c>
      <c r="N249" s="19" t="s">
        <v>363</v>
      </c>
    </row>
    <row r="250" spans="2:14" x14ac:dyDescent="0.25">
      <c r="B250" t="s">
        <v>363</v>
      </c>
      <c r="K250" s="19" t="str">
        <f t="shared" si="11"/>
        <v/>
      </c>
      <c r="L250" s="19" t="str">
        <f t="shared" ca="1" si="9"/>
        <v/>
      </c>
      <c r="M250" s="19" t="str">
        <f t="shared" si="10"/>
        <v/>
      </c>
      <c r="N250" s="19" t="s">
        <v>363</v>
      </c>
    </row>
    <row r="251" spans="2:14" x14ac:dyDescent="0.25">
      <c r="B251" t="s">
        <v>363</v>
      </c>
      <c r="K251" s="19" t="str">
        <f t="shared" si="11"/>
        <v/>
      </c>
      <c r="L251" s="19" t="str">
        <f t="shared" ca="1" si="9"/>
        <v/>
      </c>
      <c r="M251" s="19" t="str">
        <f t="shared" si="10"/>
        <v/>
      </c>
      <c r="N251" s="19" t="s">
        <v>363</v>
      </c>
    </row>
    <row r="252" spans="2:14" x14ac:dyDescent="0.25">
      <c r="B252" t="s">
        <v>363</v>
      </c>
      <c r="K252" s="19" t="str">
        <f t="shared" si="11"/>
        <v/>
      </c>
      <c r="L252" s="19" t="str">
        <f t="shared" ca="1" si="9"/>
        <v/>
      </c>
      <c r="M252" s="19" t="str">
        <f t="shared" si="10"/>
        <v/>
      </c>
      <c r="N252" s="19" t="s">
        <v>363</v>
      </c>
    </row>
    <row r="253" spans="2:14" x14ac:dyDescent="0.25">
      <c r="B253" t="s">
        <v>363</v>
      </c>
      <c r="K253" s="19" t="str">
        <f t="shared" si="11"/>
        <v/>
      </c>
      <c r="L253" s="19" t="str">
        <f t="shared" ca="1" si="9"/>
        <v/>
      </c>
      <c r="M253" s="19" t="str">
        <f t="shared" si="10"/>
        <v/>
      </c>
      <c r="N253" s="19" t="s">
        <v>363</v>
      </c>
    </row>
    <row r="254" spans="2:14" x14ac:dyDescent="0.25">
      <c r="B254" t="s">
        <v>363</v>
      </c>
      <c r="K254" s="19" t="str">
        <f t="shared" si="11"/>
        <v/>
      </c>
      <c r="L254" s="19" t="str">
        <f t="shared" ca="1" si="9"/>
        <v/>
      </c>
      <c r="M254" s="19" t="str">
        <f t="shared" si="10"/>
        <v/>
      </c>
      <c r="N254" s="19" t="s">
        <v>363</v>
      </c>
    </row>
    <row r="255" spans="2:14" x14ac:dyDescent="0.25">
      <c r="B255" t="s">
        <v>363</v>
      </c>
      <c r="K255" s="19" t="str">
        <f t="shared" si="11"/>
        <v/>
      </c>
      <c r="L255" s="19" t="str">
        <f t="shared" ca="1" si="9"/>
        <v/>
      </c>
      <c r="M255" s="19" t="str">
        <f t="shared" si="10"/>
        <v/>
      </c>
      <c r="N255" s="19" t="s">
        <v>363</v>
      </c>
    </row>
    <row r="256" spans="2:14" x14ac:dyDescent="0.25">
      <c r="B256" t="s">
        <v>363</v>
      </c>
      <c r="K256" s="19" t="str">
        <f t="shared" si="11"/>
        <v/>
      </c>
      <c r="L256" s="19" t="str">
        <f t="shared" ca="1" si="9"/>
        <v/>
      </c>
      <c r="M256" s="19" t="str">
        <f t="shared" si="10"/>
        <v/>
      </c>
      <c r="N256" s="19" t="s">
        <v>363</v>
      </c>
    </row>
    <row r="257" spans="2:14" x14ac:dyDescent="0.25">
      <c r="B257" t="s">
        <v>363</v>
      </c>
      <c r="K257" s="19" t="str">
        <f t="shared" si="11"/>
        <v/>
      </c>
      <c r="L257" s="19" t="str">
        <f t="shared" ca="1" si="9"/>
        <v/>
      </c>
      <c r="M257" s="19" t="str">
        <f t="shared" si="10"/>
        <v/>
      </c>
      <c r="N257" s="19" t="s">
        <v>363</v>
      </c>
    </row>
    <row r="258" spans="2:14" x14ac:dyDescent="0.25">
      <c r="B258" t="s">
        <v>363</v>
      </c>
      <c r="K258" s="19" t="str">
        <f t="shared" si="11"/>
        <v/>
      </c>
      <c r="L258" s="19" t="str">
        <f t="shared" ref="L258:L321" ca="1" si="12">IF(A258="","",RANDBETWEEN(1,10))</f>
        <v/>
      </c>
      <c r="M258" s="19" t="str">
        <f t="shared" ref="M258:M321" si="13">IF(A258="","",IF(L258&lt;8,"calibracion","validacion"))</f>
        <v/>
      </c>
      <c r="N258" s="19" t="s">
        <v>363</v>
      </c>
    </row>
    <row r="259" spans="2:14" x14ac:dyDescent="0.25">
      <c r="B259" t="s">
        <v>363</v>
      </c>
      <c r="K259" s="19" t="str">
        <f t="shared" ref="K259:K322" si="14">IF(C259="","",C259-((TRUNC((C259/1000000),0))*1000000))</f>
        <v/>
      </c>
      <c r="L259" s="19" t="str">
        <f t="shared" ca="1" si="12"/>
        <v/>
      </c>
      <c r="M259" s="19" t="str">
        <f t="shared" si="13"/>
        <v/>
      </c>
      <c r="N259" s="19" t="s">
        <v>363</v>
      </c>
    </row>
    <row r="260" spans="2:14" x14ac:dyDescent="0.25">
      <c r="B260" t="s">
        <v>363</v>
      </c>
      <c r="K260" s="19" t="str">
        <f t="shared" si="14"/>
        <v/>
      </c>
      <c r="L260" s="19" t="str">
        <f t="shared" ca="1" si="12"/>
        <v/>
      </c>
      <c r="M260" s="19" t="str">
        <f t="shared" si="13"/>
        <v/>
      </c>
      <c r="N260" s="19" t="s">
        <v>363</v>
      </c>
    </row>
    <row r="261" spans="2:14" x14ac:dyDescent="0.25">
      <c r="B261" t="s">
        <v>363</v>
      </c>
      <c r="K261" s="19" t="str">
        <f t="shared" si="14"/>
        <v/>
      </c>
      <c r="L261" s="19" t="str">
        <f t="shared" ca="1" si="12"/>
        <v/>
      </c>
      <c r="M261" s="19" t="str">
        <f t="shared" si="13"/>
        <v/>
      </c>
      <c r="N261" s="19" t="s">
        <v>363</v>
      </c>
    </row>
    <row r="262" spans="2:14" x14ac:dyDescent="0.25">
      <c r="B262" t="s">
        <v>363</v>
      </c>
      <c r="K262" s="19" t="str">
        <f t="shared" si="14"/>
        <v/>
      </c>
      <c r="L262" s="19" t="str">
        <f t="shared" ca="1" si="12"/>
        <v/>
      </c>
      <c r="M262" s="19" t="str">
        <f t="shared" si="13"/>
        <v/>
      </c>
      <c r="N262" s="19" t="s">
        <v>363</v>
      </c>
    </row>
    <row r="263" spans="2:14" x14ac:dyDescent="0.25">
      <c r="B263" t="s">
        <v>363</v>
      </c>
      <c r="K263" s="19" t="str">
        <f t="shared" si="14"/>
        <v/>
      </c>
      <c r="L263" s="19" t="str">
        <f t="shared" ca="1" si="12"/>
        <v/>
      </c>
      <c r="M263" s="19" t="str">
        <f t="shared" si="13"/>
        <v/>
      </c>
      <c r="N263" s="19" t="s">
        <v>363</v>
      </c>
    </row>
    <row r="264" spans="2:14" x14ac:dyDescent="0.25">
      <c r="B264" t="s">
        <v>363</v>
      </c>
      <c r="K264" s="19" t="str">
        <f t="shared" si="14"/>
        <v/>
      </c>
      <c r="L264" s="19" t="str">
        <f t="shared" ca="1" si="12"/>
        <v/>
      </c>
      <c r="M264" s="19" t="str">
        <f t="shared" si="13"/>
        <v/>
      </c>
      <c r="N264" s="19" t="s">
        <v>363</v>
      </c>
    </row>
    <row r="265" spans="2:14" x14ac:dyDescent="0.25">
      <c r="B265" t="s">
        <v>363</v>
      </c>
      <c r="K265" s="19" t="str">
        <f t="shared" si="14"/>
        <v/>
      </c>
      <c r="L265" s="19" t="str">
        <f t="shared" ca="1" si="12"/>
        <v/>
      </c>
      <c r="M265" s="19" t="str">
        <f t="shared" si="13"/>
        <v/>
      </c>
      <c r="N265" s="19" t="s">
        <v>363</v>
      </c>
    </row>
    <row r="266" spans="2:14" x14ac:dyDescent="0.25">
      <c r="B266" t="s">
        <v>363</v>
      </c>
      <c r="K266" s="19" t="str">
        <f t="shared" si="14"/>
        <v/>
      </c>
      <c r="L266" s="19" t="str">
        <f t="shared" ca="1" si="12"/>
        <v/>
      </c>
      <c r="M266" s="19" t="str">
        <f t="shared" si="13"/>
        <v/>
      </c>
      <c r="N266" s="19" t="s">
        <v>363</v>
      </c>
    </row>
    <row r="267" spans="2:14" x14ac:dyDescent="0.25">
      <c r="B267" t="s">
        <v>363</v>
      </c>
      <c r="K267" s="19" t="str">
        <f t="shared" si="14"/>
        <v/>
      </c>
      <c r="L267" s="19" t="str">
        <f t="shared" ca="1" si="12"/>
        <v/>
      </c>
      <c r="M267" s="19" t="str">
        <f t="shared" si="13"/>
        <v/>
      </c>
      <c r="N267" s="19" t="s">
        <v>363</v>
      </c>
    </row>
    <row r="268" spans="2:14" x14ac:dyDescent="0.25">
      <c r="B268" t="s">
        <v>363</v>
      </c>
      <c r="K268" s="19" t="str">
        <f t="shared" si="14"/>
        <v/>
      </c>
      <c r="L268" s="19" t="str">
        <f t="shared" ca="1" si="12"/>
        <v/>
      </c>
      <c r="M268" s="19" t="str">
        <f t="shared" si="13"/>
        <v/>
      </c>
      <c r="N268" s="19" t="s">
        <v>363</v>
      </c>
    </row>
    <row r="269" spans="2:14" x14ac:dyDescent="0.25">
      <c r="B269" t="s">
        <v>363</v>
      </c>
      <c r="K269" s="19" t="str">
        <f t="shared" si="14"/>
        <v/>
      </c>
      <c r="L269" s="19" t="str">
        <f t="shared" ca="1" si="12"/>
        <v/>
      </c>
      <c r="M269" s="19" t="str">
        <f t="shared" si="13"/>
        <v/>
      </c>
      <c r="N269" s="19" t="s">
        <v>363</v>
      </c>
    </row>
    <row r="270" spans="2:14" x14ac:dyDescent="0.25">
      <c r="B270" t="s">
        <v>363</v>
      </c>
      <c r="K270" s="19" t="str">
        <f t="shared" si="14"/>
        <v/>
      </c>
      <c r="L270" s="19" t="str">
        <f t="shared" ca="1" si="12"/>
        <v/>
      </c>
      <c r="M270" s="19" t="str">
        <f t="shared" si="13"/>
        <v/>
      </c>
      <c r="N270" s="19" t="s">
        <v>363</v>
      </c>
    </row>
    <row r="271" spans="2:14" x14ac:dyDescent="0.25">
      <c r="B271" t="s">
        <v>363</v>
      </c>
      <c r="K271" s="19" t="str">
        <f t="shared" si="14"/>
        <v/>
      </c>
      <c r="L271" s="19" t="str">
        <f t="shared" ca="1" si="12"/>
        <v/>
      </c>
      <c r="M271" s="19" t="str">
        <f t="shared" si="13"/>
        <v/>
      </c>
      <c r="N271" s="19" t="s">
        <v>363</v>
      </c>
    </row>
    <row r="272" spans="2:14" x14ac:dyDescent="0.25">
      <c r="B272" t="s">
        <v>363</v>
      </c>
      <c r="K272" s="19" t="str">
        <f t="shared" si="14"/>
        <v/>
      </c>
      <c r="L272" s="19" t="str">
        <f t="shared" ca="1" si="12"/>
        <v/>
      </c>
      <c r="M272" s="19" t="str">
        <f t="shared" si="13"/>
        <v/>
      </c>
      <c r="N272" s="19" t="s">
        <v>363</v>
      </c>
    </row>
    <row r="273" spans="2:14" x14ac:dyDescent="0.25">
      <c r="B273" t="s">
        <v>363</v>
      </c>
      <c r="K273" s="19" t="str">
        <f t="shared" si="14"/>
        <v/>
      </c>
      <c r="L273" s="19" t="str">
        <f t="shared" ca="1" si="12"/>
        <v/>
      </c>
      <c r="M273" s="19" t="str">
        <f t="shared" si="13"/>
        <v/>
      </c>
      <c r="N273" s="19" t="s">
        <v>363</v>
      </c>
    </row>
    <row r="274" spans="2:14" x14ac:dyDescent="0.25">
      <c r="B274" t="s">
        <v>363</v>
      </c>
      <c r="K274" s="19" t="str">
        <f t="shared" si="14"/>
        <v/>
      </c>
      <c r="L274" s="19" t="str">
        <f t="shared" ca="1" si="12"/>
        <v/>
      </c>
      <c r="M274" s="19" t="str">
        <f t="shared" si="13"/>
        <v/>
      </c>
      <c r="N274" s="19" t="s">
        <v>363</v>
      </c>
    </row>
    <row r="275" spans="2:14" x14ac:dyDescent="0.25">
      <c r="B275" t="s">
        <v>363</v>
      </c>
      <c r="K275" s="19" t="str">
        <f t="shared" si="14"/>
        <v/>
      </c>
      <c r="L275" s="19" t="str">
        <f t="shared" ca="1" si="12"/>
        <v/>
      </c>
      <c r="M275" s="19" t="str">
        <f t="shared" si="13"/>
        <v/>
      </c>
      <c r="N275" s="19" t="s">
        <v>363</v>
      </c>
    </row>
    <row r="276" spans="2:14" x14ac:dyDescent="0.25">
      <c r="B276" t="s">
        <v>363</v>
      </c>
      <c r="K276" s="19" t="str">
        <f t="shared" si="14"/>
        <v/>
      </c>
      <c r="L276" s="19" t="str">
        <f t="shared" ca="1" si="12"/>
        <v/>
      </c>
      <c r="M276" s="19" t="str">
        <f t="shared" si="13"/>
        <v/>
      </c>
      <c r="N276" s="19" t="s">
        <v>363</v>
      </c>
    </row>
    <row r="277" spans="2:14" x14ac:dyDescent="0.25">
      <c r="B277" t="s">
        <v>363</v>
      </c>
      <c r="K277" s="19" t="str">
        <f t="shared" si="14"/>
        <v/>
      </c>
      <c r="L277" s="19" t="str">
        <f t="shared" ca="1" si="12"/>
        <v/>
      </c>
      <c r="M277" s="19" t="str">
        <f t="shared" si="13"/>
        <v/>
      </c>
      <c r="N277" s="19" t="s">
        <v>363</v>
      </c>
    </row>
    <row r="278" spans="2:14" x14ac:dyDescent="0.25">
      <c r="B278" t="s">
        <v>363</v>
      </c>
      <c r="K278" s="19" t="str">
        <f t="shared" si="14"/>
        <v/>
      </c>
      <c r="L278" s="19" t="str">
        <f t="shared" ca="1" si="12"/>
        <v/>
      </c>
      <c r="M278" s="19" t="str">
        <f t="shared" si="13"/>
        <v/>
      </c>
      <c r="N278" s="19" t="s">
        <v>363</v>
      </c>
    </row>
    <row r="279" spans="2:14" x14ac:dyDescent="0.25">
      <c r="B279" t="s">
        <v>363</v>
      </c>
      <c r="K279" s="19" t="str">
        <f t="shared" si="14"/>
        <v/>
      </c>
      <c r="L279" s="19" t="str">
        <f t="shared" ca="1" si="12"/>
        <v/>
      </c>
      <c r="M279" s="19" t="str">
        <f t="shared" si="13"/>
        <v/>
      </c>
      <c r="N279" s="19" t="s">
        <v>363</v>
      </c>
    </row>
    <row r="280" spans="2:14" x14ac:dyDescent="0.25">
      <c r="B280" t="s">
        <v>363</v>
      </c>
      <c r="K280" s="19" t="str">
        <f t="shared" si="14"/>
        <v/>
      </c>
      <c r="L280" s="19" t="str">
        <f t="shared" ca="1" si="12"/>
        <v/>
      </c>
      <c r="M280" s="19" t="str">
        <f t="shared" si="13"/>
        <v/>
      </c>
      <c r="N280" s="19" t="s">
        <v>363</v>
      </c>
    </row>
    <row r="281" spans="2:14" x14ac:dyDescent="0.25">
      <c r="B281" t="s">
        <v>363</v>
      </c>
      <c r="K281" s="19" t="str">
        <f t="shared" si="14"/>
        <v/>
      </c>
      <c r="L281" s="19" t="str">
        <f t="shared" ca="1" si="12"/>
        <v/>
      </c>
      <c r="M281" s="19" t="str">
        <f t="shared" si="13"/>
        <v/>
      </c>
      <c r="N281" s="19" t="s">
        <v>363</v>
      </c>
    </row>
    <row r="282" spans="2:14" x14ac:dyDescent="0.25">
      <c r="B282" t="s">
        <v>363</v>
      </c>
      <c r="K282" s="19" t="str">
        <f t="shared" si="14"/>
        <v/>
      </c>
      <c r="L282" s="19" t="str">
        <f t="shared" ca="1" si="12"/>
        <v/>
      </c>
      <c r="M282" s="19" t="str">
        <f t="shared" si="13"/>
        <v/>
      </c>
      <c r="N282" s="19" t="s">
        <v>363</v>
      </c>
    </row>
    <row r="283" spans="2:14" x14ac:dyDescent="0.25">
      <c r="B283" t="s">
        <v>363</v>
      </c>
      <c r="K283" s="19" t="str">
        <f t="shared" si="14"/>
        <v/>
      </c>
      <c r="L283" s="19" t="str">
        <f t="shared" ca="1" si="12"/>
        <v/>
      </c>
      <c r="M283" s="19" t="str">
        <f t="shared" si="13"/>
        <v/>
      </c>
      <c r="N283" s="19" t="s">
        <v>363</v>
      </c>
    </row>
    <row r="284" spans="2:14" x14ac:dyDescent="0.25">
      <c r="B284" t="s">
        <v>363</v>
      </c>
      <c r="K284" s="19" t="str">
        <f t="shared" si="14"/>
        <v/>
      </c>
      <c r="L284" s="19" t="str">
        <f t="shared" ca="1" si="12"/>
        <v/>
      </c>
      <c r="M284" s="19" t="str">
        <f t="shared" si="13"/>
        <v/>
      </c>
      <c r="N284" s="19" t="s">
        <v>363</v>
      </c>
    </row>
    <row r="285" spans="2:14" x14ac:dyDescent="0.25">
      <c r="B285" t="s">
        <v>363</v>
      </c>
      <c r="K285" s="19" t="str">
        <f t="shared" si="14"/>
        <v/>
      </c>
      <c r="L285" s="19" t="str">
        <f t="shared" ca="1" si="12"/>
        <v/>
      </c>
      <c r="M285" s="19" t="str">
        <f t="shared" si="13"/>
        <v/>
      </c>
      <c r="N285" s="19" t="s">
        <v>363</v>
      </c>
    </row>
    <row r="286" spans="2:14" x14ac:dyDescent="0.25">
      <c r="B286" t="s">
        <v>363</v>
      </c>
      <c r="K286" s="19" t="str">
        <f t="shared" si="14"/>
        <v/>
      </c>
      <c r="L286" s="19" t="str">
        <f t="shared" ca="1" si="12"/>
        <v/>
      </c>
      <c r="M286" s="19" t="str">
        <f t="shared" si="13"/>
        <v/>
      </c>
      <c r="N286" s="19" t="s">
        <v>363</v>
      </c>
    </row>
    <row r="287" spans="2:14" x14ac:dyDescent="0.25">
      <c r="B287" t="s">
        <v>363</v>
      </c>
      <c r="K287" s="19" t="str">
        <f t="shared" si="14"/>
        <v/>
      </c>
      <c r="L287" s="19" t="str">
        <f t="shared" ca="1" si="12"/>
        <v/>
      </c>
      <c r="M287" s="19" t="str">
        <f t="shared" si="13"/>
        <v/>
      </c>
      <c r="N287" s="19" t="s">
        <v>363</v>
      </c>
    </row>
    <row r="288" spans="2:14" x14ac:dyDescent="0.25">
      <c r="B288" t="s">
        <v>363</v>
      </c>
      <c r="K288" s="19" t="str">
        <f t="shared" si="14"/>
        <v/>
      </c>
      <c r="L288" s="19" t="str">
        <f t="shared" ca="1" si="12"/>
        <v/>
      </c>
      <c r="M288" s="19" t="str">
        <f t="shared" si="13"/>
        <v/>
      </c>
      <c r="N288" s="19" t="s">
        <v>363</v>
      </c>
    </row>
    <row r="289" spans="2:14" x14ac:dyDescent="0.25">
      <c r="B289" t="s">
        <v>363</v>
      </c>
      <c r="K289" s="19" t="str">
        <f t="shared" si="14"/>
        <v/>
      </c>
      <c r="L289" s="19" t="str">
        <f t="shared" ca="1" si="12"/>
        <v/>
      </c>
      <c r="M289" s="19" t="str">
        <f t="shared" si="13"/>
        <v/>
      </c>
      <c r="N289" s="19" t="s">
        <v>363</v>
      </c>
    </row>
    <row r="290" spans="2:14" x14ac:dyDescent="0.25">
      <c r="B290" t="s">
        <v>363</v>
      </c>
      <c r="K290" s="19" t="str">
        <f t="shared" si="14"/>
        <v/>
      </c>
      <c r="L290" s="19" t="str">
        <f t="shared" ca="1" si="12"/>
        <v/>
      </c>
      <c r="M290" s="19" t="str">
        <f t="shared" si="13"/>
        <v/>
      </c>
      <c r="N290" s="19" t="s">
        <v>363</v>
      </c>
    </row>
    <row r="291" spans="2:14" x14ac:dyDescent="0.25">
      <c r="B291" t="s">
        <v>363</v>
      </c>
      <c r="K291" s="19" t="str">
        <f t="shared" si="14"/>
        <v/>
      </c>
      <c r="L291" s="19" t="str">
        <f t="shared" ca="1" si="12"/>
        <v/>
      </c>
      <c r="M291" s="19" t="str">
        <f t="shared" si="13"/>
        <v/>
      </c>
      <c r="N291" s="19" t="s">
        <v>363</v>
      </c>
    </row>
    <row r="292" spans="2:14" x14ac:dyDescent="0.25">
      <c r="B292" t="s">
        <v>363</v>
      </c>
      <c r="K292" s="19" t="str">
        <f t="shared" si="14"/>
        <v/>
      </c>
      <c r="L292" s="19" t="str">
        <f t="shared" ca="1" si="12"/>
        <v/>
      </c>
      <c r="M292" s="19" t="str">
        <f t="shared" si="13"/>
        <v/>
      </c>
      <c r="N292" s="19" t="s">
        <v>363</v>
      </c>
    </row>
    <row r="293" spans="2:14" x14ac:dyDescent="0.25">
      <c r="B293" t="s">
        <v>363</v>
      </c>
      <c r="K293" s="19" t="str">
        <f t="shared" si="14"/>
        <v/>
      </c>
      <c r="L293" s="19" t="str">
        <f t="shared" ca="1" si="12"/>
        <v/>
      </c>
      <c r="M293" s="19" t="str">
        <f t="shared" si="13"/>
        <v/>
      </c>
      <c r="N293" s="19" t="s">
        <v>363</v>
      </c>
    </row>
    <row r="294" spans="2:14" x14ac:dyDescent="0.25">
      <c r="B294" t="s">
        <v>363</v>
      </c>
      <c r="K294" s="19" t="str">
        <f t="shared" si="14"/>
        <v/>
      </c>
      <c r="L294" s="19" t="str">
        <f t="shared" ca="1" si="12"/>
        <v/>
      </c>
      <c r="M294" s="19" t="str">
        <f t="shared" si="13"/>
        <v/>
      </c>
      <c r="N294" s="19" t="s">
        <v>363</v>
      </c>
    </row>
    <row r="295" spans="2:14" x14ac:dyDescent="0.25">
      <c r="B295" t="s">
        <v>363</v>
      </c>
      <c r="K295" s="19" t="str">
        <f t="shared" si="14"/>
        <v/>
      </c>
      <c r="L295" s="19" t="str">
        <f t="shared" ca="1" si="12"/>
        <v/>
      </c>
      <c r="M295" s="19" t="str">
        <f t="shared" si="13"/>
        <v/>
      </c>
      <c r="N295" s="19" t="s">
        <v>363</v>
      </c>
    </row>
    <row r="296" spans="2:14" x14ac:dyDescent="0.25">
      <c r="B296" t="s">
        <v>363</v>
      </c>
      <c r="K296" s="19" t="str">
        <f t="shared" si="14"/>
        <v/>
      </c>
      <c r="L296" s="19" t="str">
        <f t="shared" ca="1" si="12"/>
        <v/>
      </c>
      <c r="M296" s="19" t="str">
        <f t="shared" si="13"/>
        <v/>
      </c>
      <c r="N296" s="19" t="s">
        <v>363</v>
      </c>
    </row>
    <row r="297" spans="2:14" x14ac:dyDescent="0.25">
      <c r="B297" t="s">
        <v>363</v>
      </c>
      <c r="K297" s="19" t="str">
        <f t="shared" si="14"/>
        <v/>
      </c>
      <c r="L297" s="19" t="str">
        <f t="shared" ca="1" si="12"/>
        <v/>
      </c>
      <c r="M297" s="19" t="str">
        <f t="shared" si="13"/>
        <v/>
      </c>
      <c r="N297" s="19" t="s">
        <v>363</v>
      </c>
    </row>
    <row r="298" spans="2:14" x14ac:dyDescent="0.25">
      <c r="B298" t="s">
        <v>363</v>
      </c>
      <c r="K298" s="19" t="str">
        <f t="shared" si="14"/>
        <v/>
      </c>
      <c r="L298" s="19" t="str">
        <f t="shared" ca="1" si="12"/>
        <v/>
      </c>
      <c r="M298" s="19" t="str">
        <f t="shared" si="13"/>
        <v/>
      </c>
      <c r="N298" s="19" t="s">
        <v>363</v>
      </c>
    </row>
    <row r="299" spans="2:14" x14ac:dyDescent="0.25">
      <c r="B299" t="s">
        <v>363</v>
      </c>
      <c r="K299" s="19" t="str">
        <f t="shared" si="14"/>
        <v/>
      </c>
      <c r="L299" s="19" t="str">
        <f t="shared" ca="1" si="12"/>
        <v/>
      </c>
      <c r="M299" s="19" t="str">
        <f t="shared" si="13"/>
        <v/>
      </c>
      <c r="N299" s="19" t="s">
        <v>363</v>
      </c>
    </row>
    <row r="300" spans="2:14" x14ac:dyDescent="0.25">
      <c r="B300" t="s">
        <v>363</v>
      </c>
      <c r="K300" s="19" t="str">
        <f t="shared" si="14"/>
        <v/>
      </c>
      <c r="L300" s="19" t="str">
        <f t="shared" ca="1" si="12"/>
        <v/>
      </c>
      <c r="M300" s="19" t="str">
        <f t="shared" si="13"/>
        <v/>
      </c>
      <c r="N300" s="19" t="s">
        <v>363</v>
      </c>
    </row>
    <row r="301" spans="2:14" x14ac:dyDescent="0.25">
      <c r="B301" t="s">
        <v>363</v>
      </c>
      <c r="K301" s="19" t="str">
        <f t="shared" si="14"/>
        <v/>
      </c>
      <c r="L301" s="19" t="str">
        <f t="shared" ca="1" si="12"/>
        <v/>
      </c>
      <c r="M301" s="19" t="str">
        <f t="shared" si="13"/>
        <v/>
      </c>
      <c r="N301" s="19" t="s">
        <v>363</v>
      </c>
    </row>
    <row r="302" spans="2:14" x14ac:dyDescent="0.25">
      <c r="B302" t="s">
        <v>363</v>
      </c>
      <c r="K302" s="19" t="str">
        <f t="shared" si="14"/>
        <v/>
      </c>
      <c r="L302" s="19" t="str">
        <f t="shared" ca="1" si="12"/>
        <v/>
      </c>
      <c r="M302" s="19" t="str">
        <f t="shared" si="13"/>
        <v/>
      </c>
      <c r="N302" s="19" t="s">
        <v>363</v>
      </c>
    </row>
    <row r="303" spans="2:14" x14ac:dyDescent="0.25">
      <c r="B303" t="s">
        <v>363</v>
      </c>
      <c r="K303" s="19" t="str">
        <f t="shared" si="14"/>
        <v/>
      </c>
      <c r="L303" s="19" t="str">
        <f t="shared" ca="1" si="12"/>
        <v/>
      </c>
      <c r="M303" s="19" t="str">
        <f t="shared" si="13"/>
        <v/>
      </c>
      <c r="N303" s="19" t="s">
        <v>363</v>
      </c>
    </row>
    <row r="304" spans="2:14" x14ac:dyDescent="0.25">
      <c r="B304" t="s">
        <v>363</v>
      </c>
      <c r="K304" s="19" t="str">
        <f t="shared" si="14"/>
        <v/>
      </c>
      <c r="L304" s="19" t="str">
        <f t="shared" ca="1" si="12"/>
        <v/>
      </c>
      <c r="M304" s="19" t="str">
        <f t="shared" si="13"/>
        <v/>
      </c>
      <c r="N304" s="19" t="s">
        <v>363</v>
      </c>
    </row>
    <row r="305" spans="2:14" x14ac:dyDescent="0.25">
      <c r="B305" t="s">
        <v>363</v>
      </c>
      <c r="K305" s="19" t="str">
        <f t="shared" si="14"/>
        <v/>
      </c>
      <c r="L305" s="19" t="str">
        <f t="shared" ca="1" si="12"/>
        <v/>
      </c>
      <c r="M305" s="19" t="str">
        <f t="shared" si="13"/>
        <v/>
      </c>
      <c r="N305" s="19" t="s">
        <v>363</v>
      </c>
    </row>
    <row r="306" spans="2:14" x14ac:dyDescent="0.25">
      <c r="B306" t="s">
        <v>363</v>
      </c>
      <c r="K306" s="19" t="str">
        <f t="shared" si="14"/>
        <v/>
      </c>
      <c r="L306" s="19" t="str">
        <f t="shared" ca="1" si="12"/>
        <v/>
      </c>
      <c r="M306" s="19" t="str">
        <f t="shared" si="13"/>
        <v/>
      </c>
      <c r="N306" s="19" t="s">
        <v>363</v>
      </c>
    </row>
    <row r="307" spans="2:14" x14ac:dyDescent="0.25">
      <c r="B307" t="s">
        <v>363</v>
      </c>
      <c r="K307" s="19" t="str">
        <f t="shared" si="14"/>
        <v/>
      </c>
      <c r="L307" s="19" t="str">
        <f t="shared" ca="1" si="12"/>
        <v/>
      </c>
      <c r="M307" s="19" t="str">
        <f t="shared" si="13"/>
        <v/>
      </c>
      <c r="N307" s="19" t="s">
        <v>363</v>
      </c>
    </row>
    <row r="308" spans="2:14" x14ac:dyDescent="0.25">
      <c r="B308" t="s">
        <v>363</v>
      </c>
      <c r="K308" s="19" t="str">
        <f t="shared" si="14"/>
        <v/>
      </c>
      <c r="L308" s="19" t="str">
        <f t="shared" ca="1" si="12"/>
        <v/>
      </c>
      <c r="M308" s="19" t="str">
        <f t="shared" si="13"/>
        <v/>
      </c>
      <c r="N308" s="19" t="s">
        <v>363</v>
      </c>
    </row>
    <row r="309" spans="2:14" x14ac:dyDescent="0.25">
      <c r="B309" t="s">
        <v>363</v>
      </c>
      <c r="K309" s="19" t="str">
        <f t="shared" si="14"/>
        <v/>
      </c>
      <c r="L309" s="19" t="str">
        <f t="shared" ca="1" si="12"/>
        <v/>
      </c>
      <c r="M309" s="19" t="str">
        <f t="shared" si="13"/>
        <v/>
      </c>
      <c r="N309" s="19" t="s">
        <v>363</v>
      </c>
    </row>
    <row r="310" spans="2:14" x14ac:dyDescent="0.25">
      <c r="B310" t="s">
        <v>363</v>
      </c>
      <c r="K310" s="19" t="str">
        <f t="shared" si="14"/>
        <v/>
      </c>
      <c r="L310" s="19" t="str">
        <f t="shared" ca="1" si="12"/>
        <v/>
      </c>
      <c r="M310" s="19" t="str">
        <f t="shared" si="13"/>
        <v/>
      </c>
      <c r="N310" s="19" t="s">
        <v>363</v>
      </c>
    </row>
    <row r="311" spans="2:14" x14ac:dyDescent="0.25">
      <c r="B311" t="s">
        <v>363</v>
      </c>
      <c r="K311" s="19" t="str">
        <f t="shared" si="14"/>
        <v/>
      </c>
      <c r="L311" s="19" t="str">
        <f t="shared" ca="1" si="12"/>
        <v/>
      </c>
      <c r="M311" s="19" t="str">
        <f t="shared" si="13"/>
        <v/>
      </c>
      <c r="N311" s="19" t="s">
        <v>363</v>
      </c>
    </row>
    <row r="312" spans="2:14" x14ac:dyDescent="0.25">
      <c r="B312" t="s">
        <v>363</v>
      </c>
      <c r="K312" s="19" t="str">
        <f t="shared" si="14"/>
        <v/>
      </c>
      <c r="L312" s="19" t="str">
        <f t="shared" ca="1" si="12"/>
        <v/>
      </c>
      <c r="M312" s="19" t="str">
        <f t="shared" si="13"/>
        <v/>
      </c>
      <c r="N312" s="19" t="s">
        <v>363</v>
      </c>
    </row>
    <row r="313" spans="2:14" x14ac:dyDescent="0.25">
      <c r="B313" t="s">
        <v>363</v>
      </c>
      <c r="K313" s="19" t="str">
        <f t="shared" si="14"/>
        <v/>
      </c>
      <c r="L313" s="19" t="str">
        <f t="shared" ca="1" si="12"/>
        <v/>
      </c>
      <c r="M313" s="19" t="str">
        <f t="shared" si="13"/>
        <v/>
      </c>
      <c r="N313" s="19" t="s">
        <v>363</v>
      </c>
    </row>
    <row r="314" spans="2:14" x14ac:dyDescent="0.25">
      <c r="B314" t="s">
        <v>363</v>
      </c>
      <c r="K314" s="19" t="str">
        <f t="shared" si="14"/>
        <v/>
      </c>
      <c r="L314" s="19" t="str">
        <f t="shared" ca="1" si="12"/>
        <v/>
      </c>
      <c r="M314" s="19" t="str">
        <f t="shared" si="13"/>
        <v/>
      </c>
      <c r="N314" s="19" t="s">
        <v>363</v>
      </c>
    </row>
    <row r="315" spans="2:14" x14ac:dyDescent="0.25">
      <c r="B315" t="s">
        <v>363</v>
      </c>
      <c r="K315" s="19" t="str">
        <f t="shared" si="14"/>
        <v/>
      </c>
      <c r="L315" s="19" t="str">
        <f t="shared" ca="1" si="12"/>
        <v/>
      </c>
      <c r="M315" s="19" t="str">
        <f t="shared" si="13"/>
        <v/>
      </c>
      <c r="N315" s="19" t="s">
        <v>363</v>
      </c>
    </row>
    <row r="316" spans="2:14" x14ac:dyDescent="0.25">
      <c r="B316" t="s">
        <v>363</v>
      </c>
      <c r="K316" s="19" t="str">
        <f t="shared" si="14"/>
        <v/>
      </c>
      <c r="L316" s="19" t="str">
        <f t="shared" ca="1" si="12"/>
        <v/>
      </c>
      <c r="M316" s="19" t="str">
        <f t="shared" si="13"/>
        <v/>
      </c>
      <c r="N316" s="19" t="s">
        <v>363</v>
      </c>
    </row>
    <row r="317" spans="2:14" x14ac:dyDescent="0.25">
      <c r="B317" t="s">
        <v>363</v>
      </c>
      <c r="K317" s="19" t="str">
        <f t="shared" si="14"/>
        <v/>
      </c>
      <c r="L317" s="19" t="str">
        <f t="shared" ca="1" si="12"/>
        <v/>
      </c>
      <c r="M317" s="19" t="str">
        <f t="shared" si="13"/>
        <v/>
      </c>
      <c r="N317" s="19" t="s">
        <v>363</v>
      </c>
    </row>
    <row r="318" spans="2:14" x14ac:dyDescent="0.25">
      <c r="B318" t="s">
        <v>363</v>
      </c>
      <c r="K318" s="19" t="str">
        <f t="shared" si="14"/>
        <v/>
      </c>
      <c r="L318" s="19" t="str">
        <f t="shared" ca="1" si="12"/>
        <v/>
      </c>
      <c r="M318" s="19" t="str">
        <f t="shared" si="13"/>
        <v/>
      </c>
      <c r="N318" s="19" t="s">
        <v>363</v>
      </c>
    </row>
    <row r="319" spans="2:14" x14ac:dyDescent="0.25">
      <c r="B319" t="s">
        <v>363</v>
      </c>
      <c r="K319" s="19" t="str">
        <f t="shared" si="14"/>
        <v/>
      </c>
      <c r="L319" s="19" t="str">
        <f t="shared" ca="1" si="12"/>
        <v/>
      </c>
      <c r="M319" s="19" t="str">
        <f t="shared" si="13"/>
        <v/>
      </c>
      <c r="N319" s="19" t="s">
        <v>363</v>
      </c>
    </row>
    <row r="320" spans="2:14" x14ac:dyDescent="0.25">
      <c r="B320" t="s">
        <v>363</v>
      </c>
      <c r="K320" s="19" t="str">
        <f t="shared" si="14"/>
        <v/>
      </c>
      <c r="L320" s="19" t="str">
        <f t="shared" ca="1" si="12"/>
        <v/>
      </c>
      <c r="M320" s="19" t="str">
        <f t="shared" si="13"/>
        <v/>
      </c>
      <c r="N320" s="19" t="s">
        <v>363</v>
      </c>
    </row>
    <row r="321" spans="2:14" x14ac:dyDescent="0.25">
      <c r="B321" t="s">
        <v>363</v>
      </c>
      <c r="K321" s="19" t="str">
        <f t="shared" si="14"/>
        <v/>
      </c>
      <c r="L321" s="19" t="str">
        <f t="shared" ca="1" si="12"/>
        <v/>
      </c>
      <c r="M321" s="19" t="str">
        <f t="shared" si="13"/>
        <v/>
      </c>
      <c r="N321" s="19" t="s">
        <v>363</v>
      </c>
    </row>
    <row r="322" spans="2:14" x14ac:dyDescent="0.25">
      <c r="B322" t="s">
        <v>363</v>
      </c>
      <c r="K322" s="19" t="str">
        <f t="shared" si="14"/>
        <v/>
      </c>
      <c r="L322" s="19" t="str">
        <f t="shared" ref="L322:L385" ca="1" si="15">IF(A322="","",RANDBETWEEN(1,10))</f>
        <v/>
      </c>
      <c r="M322" s="19" t="str">
        <f t="shared" ref="M322:M385" si="16">IF(A322="","",IF(L322&lt;8,"calibracion","validacion"))</f>
        <v/>
      </c>
      <c r="N322" s="19" t="s">
        <v>363</v>
      </c>
    </row>
    <row r="323" spans="2:14" x14ac:dyDescent="0.25">
      <c r="B323" t="s">
        <v>363</v>
      </c>
      <c r="K323" s="19" t="str">
        <f t="shared" ref="K323:K386" si="17">IF(C323="","",C323-((TRUNC((C323/1000000),0))*1000000))</f>
        <v/>
      </c>
      <c r="L323" s="19" t="str">
        <f t="shared" ca="1" si="15"/>
        <v/>
      </c>
      <c r="M323" s="19" t="str">
        <f t="shared" si="16"/>
        <v/>
      </c>
      <c r="N323" s="19" t="s">
        <v>363</v>
      </c>
    </row>
    <row r="324" spans="2:14" x14ac:dyDescent="0.25">
      <c r="B324" t="s">
        <v>363</v>
      </c>
      <c r="K324" s="19" t="str">
        <f t="shared" si="17"/>
        <v/>
      </c>
      <c r="L324" s="19" t="str">
        <f t="shared" ca="1" si="15"/>
        <v/>
      </c>
      <c r="M324" s="19" t="str">
        <f t="shared" si="16"/>
        <v/>
      </c>
      <c r="N324" s="19" t="s">
        <v>363</v>
      </c>
    </row>
    <row r="325" spans="2:14" x14ac:dyDescent="0.25">
      <c r="B325" t="s">
        <v>363</v>
      </c>
      <c r="K325" s="19" t="str">
        <f t="shared" si="17"/>
        <v/>
      </c>
      <c r="L325" s="19" t="str">
        <f t="shared" ca="1" si="15"/>
        <v/>
      </c>
      <c r="M325" s="19" t="str">
        <f t="shared" si="16"/>
        <v/>
      </c>
      <c r="N325" s="19" t="s">
        <v>363</v>
      </c>
    </row>
    <row r="326" spans="2:14" x14ac:dyDescent="0.25">
      <c r="B326" t="s">
        <v>363</v>
      </c>
      <c r="K326" s="19" t="str">
        <f t="shared" si="17"/>
        <v/>
      </c>
      <c r="L326" s="19" t="str">
        <f t="shared" ca="1" si="15"/>
        <v/>
      </c>
      <c r="M326" s="19" t="str">
        <f t="shared" si="16"/>
        <v/>
      </c>
      <c r="N326" s="19" t="s">
        <v>363</v>
      </c>
    </row>
    <row r="327" spans="2:14" x14ac:dyDescent="0.25">
      <c r="B327" t="s">
        <v>363</v>
      </c>
      <c r="K327" s="19" t="str">
        <f t="shared" si="17"/>
        <v/>
      </c>
      <c r="L327" s="19" t="str">
        <f t="shared" ca="1" si="15"/>
        <v/>
      </c>
      <c r="M327" s="19" t="str">
        <f t="shared" si="16"/>
        <v/>
      </c>
      <c r="N327" s="19" t="s">
        <v>363</v>
      </c>
    </row>
    <row r="328" spans="2:14" x14ac:dyDescent="0.25">
      <c r="B328" t="s">
        <v>363</v>
      </c>
      <c r="K328" s="19" t="str">
        <f t="shared" si="17"/>
        <v/>
      </c>
      <c r="L328" s="19" t="str">
        <f t="shared" ca="1" si="15"/>
        <v/>
      </c>
      <c r="M328" s="19" t="str">
        <f t="shared" si="16"/>
        <v/>
      </c>
      <c r="N328" s="19" t="s">
        <v>363</v>
      </c>
    </row>
    <row r="329" spans="2:14" x14ac:dyDescent="0.25">
      <c r="B329" t="s">
        <v>363</v>
      </c>
      <c r="K329" s="19" t="str">
        <f t="shared" si="17"/>
        <v/>
      </c>
      <c r="L329" s="19" t="str">
        <f t="shared" ca="1" si="15"/>
        <v/>
      </c>
      <c r="M329" s="19" t="str">
        <f t="shared" si="16"/>
        <v/>
      </c>
      <c r="N329" s="19" t="s">
        <v>363</v>
      </c>
    </row>
    <row r="330" spans="2:14" x14ac:dyDescent="0.25">
      <c r="B330" t="s">
        <v>363</v>
      </c>
      <c r="K330" s="19" t="str">
        <f t="shared" si="17"/>
        <v/>
      </c>
      <c r="L330" s="19" t="str">
        <f t="shared" ca="1" si="15"/>
        <v/>
      </c>
      <c r="M330" s="19" t="str">
        <f t="shared" si="16"/>
        <v/>
      </c>
      <c r="N330" s="19" t="s">
        <v>363</v>
      </c>
    </row>
    <row r="331" spans="2:14" x14ac:dyDescent="0.25">
      <c r="B331" t="s">
        <v>363</v>
      </c>
      <c r="K331" s="19" t="str">
        <f t="shared" si="17"/>
        <v/>
      </c>
      <c r="L331" s="19" t="str">
        <f t="shared" ca="1" si="15"/>
        <v/>
      </c>
      <c r="M331" s="19" t="str">
        <f t="shared" si="16"/>
        <v/>
      </c>
      <c r="N331" s="19" t="s">
        <v>363</v>
      </c>
    </row>
    <row r="332" spans="2:14" x14ac:dyDescent="0.25">
      <c r="B332" t="s">
        <v>363</v>
      </c>
      <c r="K332" s="19" t="str">
        <f t="shared" si="17"/>
        <v/>
      </c>
      <c r="L332" s="19" t="str">
        <f t="shared" ca="1" si="15"/>
        <v/>
      </c>
      <c r="M332" s="19" t="str">
        <f t="shared" si="16"/>
        <v/>
      </c>
      <c r="N332" s="19" t="s">
        <v>363</v>
      </c>
    </row>
    <row r="333" spans="2:14" x14ac:dyDescent="0.25">
      <c r="B333" t="s">
        <v>363</v>
      </c>
      <c r="K333" s="19" t="str">
        <f t="shared" si="17"/>
        <v/>
      </c>
      <c r="L333" s="19" t="str">
        <f t="shared" ca="1" si="15"/>
        <v/>
      </c>
      <c r="M333" s="19" t="str">
        <f t="shared" si="16"/>
        <v/>
      </c>
      <c r="N333" s="19" t="s">
        <v>363</v>
      </c>
    </row>
    <row r="334" spans="2:14" x14ac:dyDescent="0.25">
      <c r="B334" t="s">
        <v>363</v>
      </c>
      <c r="K334" s="19" t="str">
        <f t="shared" si="17"/>
        <v/>
      </c>
      <c r="L334" s="19" t="str">
        <f t="shared" ca="1" si="15"/>
        <v/>
      </c>
      <c r="M334" s="19" t="str">
        <f t="shared" si="16"/>
        <v/>
      </c>
      <c r="N334" s="19" t="s">
        <v>363</v>
      </c>
    </row>
    <row r="335" spans="2:14" x14ac:dyDescent="0.25">
      <c r="B335" t="s">
        <v>363</v>
      </c>
      <c r="K335" s="19" t="str">
        <f t="shared" si="17"/>
        <v/>
      </c>
      <c r="L335" s="19" t="str">
        <f t="shared" ca="1" si="15"/>
        <v/>
      </c>
      <c r="M335" s="19" t="str">
        <f t="shared" si="16"/>
        <v/>
      </c>
      <c r="N335" s="19" t="s">
        <v>363</v>
      </c>
    </row>
    <row r="336" spans="2:14" x14ac:dyDescent="0.25">
      <c r="B336" t="s">
        <v>363</v>
      </c>
      <c r="K336" s="19" t="str">
        <f t="shared" si="17"/>
        <v/>
      </c>
      <c r="L336" s="19" t="str">
        <f t="shared" ca="1" si="15"/>
        <v/>
      </c>
      <c r="M336" s="19" t="str">
        <f t="shared" si="16"/>
        <v/>
      </c>
      <c r="N336" s="19" t="s">
        <v>363</v>
      </c>
    </row>
    <row r="337" spans="2:14" x14ac:dyDescent="0.25">
      <c r="B337" t="s">
        <v>363</v>
      </c>
      <c r="K337" s="19" t="str">
        <f t="shared" si="17"/>
        <v/>
      </c>
      <c r="L337" s="19" t="str">
        <f t="shared" ca="1" si="15"/>
        <v/>
      </c>
      <c r="M337" s="19" t="str">
        <f t="shared" si="16"/>
        <v/>
      </c>
      <c r="N337" s="19" t="s">
        <v>363</v>
      </c>
    </row>
    <row r="338" spans="2:14" x14ac:dyDescent="0.25">
      <c r="B338" t="s">
        <v>363</v>
      </c>
      <c r="K338" s="19" t="str">
        <f t="shared" si="17"/>
        <v/>
      </c>
      <c r="L338" s="19" t="str">
        <f t="shared" ca="1" si="15"/>
        <v/>
      </c>
      <c r="M338" s="19" t="str">
        <f t="shared" si="16"/>
        <v/>
      </c>
      <c r="N338" s="19" t="s">
        <v>363</v>
      </c>
    </row>
    <row r="339" spans="2:14" x14ac:dyDescent="0.25">
      <c r="B339" t="s">
        <v>363</v>
      </c>
      <c r="K339" s="19" t="str">
        <f t="shared" si="17"/>
        <v/>
      </c>
      <c r="L339" s="19" t="str">
        <f t="shared" ca="1" si="15"/>
        <v/>
      </c>
      <c r="M339" s="19" t="str">
        <f t="shared" si="16"/>
        <v/>
      </c>
      <c r="N339" s="19" t="s">
        <v>363</v>
      </c>
    </row>
    <row r="340" spans="2:14" x14ac:dyDescent="0.25">
      <c r="B340" t="s">
        <v>363</v>
      </c>
      <c r="K340" s="19" t="str">
        <f t="shared" si="17"/>
        <v/>
      </c>
      <c r="L340" s="19" t="str">
        <f t="shared" ca="1" si="15"/>
        <v/>
      </c>
      <c r="M340" s="19" t="str">
        <f t="shared" si="16"/>
        <v/>
      </c>
      <c r="N340" s="19" t="s">
        <v>363</v>
      </c>
    </row>
    <row r="341" spans="2:14" x14ac:dyDescent="0.25">
      <c r="B341" t="s">
        <v>363</v>
      </c>
      <c r="K341" s="19" t="str">
        <f t="shared" si="17"/>
        <v/>
      </c>
      <c r="L341" s="19" t="str">
        <f t="shared" ca="1" si="15"/>
        <v/>
      </c>
      <c r="M341" s="19" t="str">
        <f t="shared" si="16"/>
        <v/>
      </c>
      <c r="N341" s="19" t="s">
        <v>363</v>
      </c>
    </row>
    <row r="342" spans="2:14" x14ac:dyDescent="0.25">
      <c r="B342" t="s">
        <v>363</v>
      </c>
      <c r="K342" s="19" t="str">
        <f t="shared" si="17"/>
        <v/>
      </c>
      <c r="L342" s="19" t="str">
        <f t="shared" ca="1" si="15"/>
        <v/>
      </c>
      <c r="M342" s="19" t="str">
        <f t="shared" si="16"/>
        <v/>
      </c>
      <c r="N342" s="19" t="s">
        <v>363</v>
      </c>
    </row>
    <row r="343" spans="2:14" x14ac:dyDescent="0.25">
      <c r="B343" t="s">
        <v>363</v>
      </c>
      <c r="K343" s="19" t="str">
        <f t="shared" si="17"/>
        <v/>
      </c>
      <c r="L343" s="19" t="str">
        <f t="shared" ca="1" si="15"/>
        <v/>
      </c>
      <c r="M343" s="19" t="str">
        <f t="shared" si="16"/>
        <v/>
      </c>
      <c r="N343" s="19" t="s">
        <v>363</v>
      </c>
    </row>
    <row r="344" spans="2:14" x14ac:dyDescent="0.25">
      <c r="B344" t="s">
        <v>363</v>
      </c>
      <c r="K344" s="19" t="str">
        <f t="shared" si="17"/>
        <v/>
      </c>
      <c r="L344" s="19" t="str">
        <f t="shared" ca="1" si="15"/>
        <v/>
      </c>
      <c r="M344" s="19" t="str">
        <f t="shared" si="16"/>
        <v/>
      </c>
      <c r="N344" s="19" t="s">
        <v>363</v>
      </c>
    </row>
    <row r="345" spans="2:14" x14ac:dyDescent="0.25">
      <c r="B345" t="s">
        <v>363</v>
      </c>
      <c r="K345" s="19" t="str">
        <f t="shared" si="17"/>
        <v/>
      </c>
      <c r="L345" s="19" t="str">
        <f t="shared" ca="1" si="15"/>
        <v/>
      </c>
      <c r="M345" s="19" t="str">
        <f t="shared" si="16"/>
        <v/>
      </c>
      <c r="N345" s="19" t="s">
        <v>363</v>
      </c>
    </row>
    <row r="346" spans="2:14" x14ac:dyDescent="0.25">
      <c r="B346" t="s">
        <v>363</v>
      </c>
      <c r="K346" s="19" t="str">
        <f t="shared" si="17"/>
        <v/>
      </c>
      <c r="L346" s="19" t="str">
        <f t="shared" ca="1" si="15"/>
        <v/>
      </c>
      <c r="M346" s="19" t="str">
        <f t="shared" si="16"/>
        <v/>
      </c>
      <c r="N346" s="19" t="s">
        <v>363</v>
      </c>
    </row>
    <row r="347" spans="2:14" x14ac:dyDescent="0.25">
      <c r="B347" t="s">
        <v>363</v>
      </c>
      <c r="K347" s="19" t="str">
        <f t="shared" si="17"/>
        <v/>
      </c>
      <c r="L347" s="19" t="str">
        <f t="shared" ca="1" si="15"/>
        <v/>
      </c>
      <c r="M347" s="19" t="str">
        <f t="shared" si="16"/>
        <v/>
      </c>
      <c r="N347" s="19" t="s">
        <v>363</v>
      </c>
    </row>
    <row r="348" spans="2:14" x14ac:dyDescent="0.25">
      <c r="B348" t="s">
        <v>363</v>
      </c>
      <c r="K348" s="19" t="str">
        <f t="shared" si="17"/>
        <v/>
      </c>
      <c r="L348" s="19" t="str">
        <f t="shared" ca="1" si="15"/>
        <v/>
      </c>
      <c r="M348" s="19" t="str">
        <f t="shared" si="16"/>
        <v/>
      </c>
      <c r="N348" s="19" t="s">
        <v>363</v>
      </c>
    </row>
    <row r="349" spans="2:14" x14ac:dyDescent="0.25">
      <c r="B349" t="s">
        <v>363</v>
      </c>
      <c r="K349" s="19" t="str">
        <f t="shared" si="17"/>
        <v/>
      </c>
      <c r="L349" s="19" t="str">
        <f t="shared" ca="1" si="15"/>
        <v/>
      </c>
      <c r="M349" s="19" t="str">
        <f t="shared" si="16"/>
        <v/>
      </c>
      <c r="N349" s="19" t="s">
        <v>363</v>
      </c>
    </row>
    <row r="350" spans="2:14" x14ac:dyDescent="0.25">
      <c r="B350" t="s">
        <v>363</v>
      </c>
      <c r="K350" s="19" t="str">
        <f t="shared" si="17"/>
        <v/>
      </c>
      <c r="L350" s="19" t="str">
        <f t="shared" ca="1" si="15"/>
        <v/>
      </c>
      <c r="M350" s="19" t="str">
        <f t="shared" si="16"/>
        <v/>
      </c>
      <c r="N350" s="19" t="s">
        <v>363</v>
      </c>
    </row>
    <row r="351" spans="2:14" x14ac:dyDescent="0.25">
      <c r="B351" t="s">
        <v>363</v>
      </c>
      <c r="K351" s="19" t="str">
        <f t="shared" si="17"/>
        <v/>
      </c>
      <c r="L351" s="19" t="str">
        <f t="shared" ca="1" si="15"/>
        <v/>
      </c>
      <c r="M351" s="19" t="str">
        <f t="shared" si="16"/>
        <v/>
      </c>
      <c r="N351" s="19" t="s">
        <v>363</v>
      </c>
    </row>
    <row r="352" spans="2:14" x14ac:dyDescent="0.25">
      <c r="B352" t="s">
        <v>363</v>
      </c>
      <c r="K352" s="19" t="str">
        <f t="shared" si="17"/>
        <v/>
      </c>
      <c r="L352" s="19" t="str">
        <f t="shared" ca="1" si="15"/>
        <v/>
      </c>
      <c r="M352" s="19" t="str">
        <f t="shared" si="16"/>
        <v/>
      </c>
      <c r="N352" s="19" t="s">
        <v>363</v>
      </c>
    </row>
    <row r="353" spans="2:14" x14ac:dyDescent="0.25">
      <c r="B353" t="s">
        <v>363</v>
      </c>
      <c r="K353" s="19" t="str">
        <f t="shared" si="17"/>
        <v/>
      </c>
      <c r="L353" s="19" t="str">
        <f t="shared" ca="1" si="15"/>
        <v/>
      </c>
      <c r="M353" s="19" t="str">
        <f t="shared" si="16"/>
        <v/>
      </c>
      <c r="N353" s="19" t="s">
        <v>363</v>
      </c>
    </row>
    <row r="354" spans="2:14" x14ac:dyDescent="0.25">
      <c r="B354" t="s">
        <v>363</v>
      </c>
      <c r="K354" s="19" t="str">
        <f t="shared" si="17"/>
        <v/>
      </c>
      <c r="L354" s="19" t="str">
        <f t="shared" ca="1" si="15"/>
        <v/>
      </c>
      <c r="M354" s="19" t="str">
        <f t="shared" si="16"/>
        <v/>
      </c>
      <c r="N354" s="19" t="s">
        <v>363</v>
      </c>
    </row>
    <row r="355" spans="2:14" x14ac:dyDescent="0.25">
      <c r="B355" t="s">
        <v>363</v>
      </c>
      <c r="K355" s="19" t="str">
        <f t="shared" si="17"/>
        <v/>
      </c>
      <c r="L355" s="19" t="str">
        <f t="shared" ca="1" si="15"/>
        <v/>
      </c>
      <c r="M355" s="19" t="str">
        <f t="shared" si="16"/>
        <v/>
      </c>
      <c r="N355" s="19" t="s">
        <v>363</v>
      </c>
    </row>
    <row r="356" spans="2:14" x14ac:dyDescent="0.25">
      <c r="B356" t="s">
        <v>363</v>
      </c>
      <c r="K356" s="19" t="str">
        <f t="shared" si="17"/>
        <v/>
      </c>
      <c r="L356" s="19" t="str">
        <f t="shared" ca="1" si="15"/>
        <v/>
      </c>
      <c r="M356" s="19" t="str">
        <f t="shared" si="16"/>
        <v/>
      </c>
      <c r="N356" s="19" t="s">
        <v>363</v>
      </c>
    </row>
    <row r="357" spans="2:14" x14ac:dyDescent="0.25">
      <c r="B357" t="s">
        <v>363</v>
      </c>
      <c r="K357" s="19" t="str">
        <f t="shared" si="17"/>
        <v/>
      </c>
      <c r="L357" s="19" t="str">
        <f t="shared" ca="1" si="15"/>
        <v/>
      </c>
      <c r="M357" s="19" t="str">
        <f t="shared" si="16"/>
        <v/>
      </c>
      <c r="N357" s="19" t="s">
        <v>363</v>
      </c>
    </row>
    <row r="358" spans="2:14" x14ac:dyDescent="0.25">
      <c r="B358" t="s">
        <v>363</v>
      </c>
      <c r="K358" s="19" t="str">
        <f t="shared" si="17"/>
        <v/>
      </c>
      <c r="L358" s="19" t="str">
        <f t="shared" ca="1" si="15"/>
        <v/>
      </c>
      <c r="M358" s="19" t="str">
        <f t="shared" si="16"/>
        <v/>
      </c>
      <c r="N358" s="19" t="s">
        <v>363</v>
      </c>
    </row>
    <row r="359" spans="2:14" x14ac:dyDescent="0.25">
      <c r="B359" t="s">
        <v>363</v>
      </c>
      <c r="K359" s="19" t="str">
        <f t="shared" si="17"/>
        <v/>
      </c>
      <c r="L359" s="19" t="str">
        <f t="shared" ca="1" si="15"/>
        <v/>
      </c>
      <c r="M359" s="19" t="str">
        <f t="shared" si="16"/>
        <v/>
      </c>
      <c r="N359" s="19" t="s">
        <v>363</v>
      </c>
    </row>
    <row r="360" spans="2:14" x14ac:dyDescent="0.25">
      <c r="B360" t="s">
        <v>363</v>
      </c>
      <c r="K360" s="19" t="str">
        <f t="shared" si="17"/>
        <v/>
      </c>
      <c r="L360" s="19" t="str">
        <f t="shared" ca="1" si="15"/>
        <v/>
      </c>
      <c r="M360" s="19" t="str">
        <f t="shared" si="16"/>
        <v/>
      </c>
      <c r="N360" s="19" t="s">
        <v>363</v>
      </c>
    </row>
    <row r="361" spans="2:14" x14ac:dyDescent="0.25">
      <c r="B361" t="s">
        <v>363</v>
      </c>
      <c r="K361" s="19" t="str">
        <f t="shared" si="17"/>
        <v/>
      </c>
      <c r="L361" s="19" t="str">
        <f t="shared" ca="1" si="15"/>
        <v/>
      </c>
      <c r="M361" s="19" t="str">
        <f t="shared" si="16"/>
        <v/>
      </c>
      <c r="N361" s="19" t="s">
        <v>363</v>
      </c>
    </row>
    <row r="362" spans="2:14" x14ac:dyDescent="0.25">
      <c r="B362" t="s">
        <v>363</v>
      </c>
      <c r="K362" s="19" t="str">
        <f t="shared" si="17"/>
        <v/>
      </c>
      <c r="L362" s="19" t="str">
        <f t="shared" ca="1" si="15"/>
        <v/>
      </c>
      <c r="M362" s="19" t="str">
        <f t="shared" si="16"/>
        <v/>
      </c>
      <c r="N362" s="19" t="s">
        <v>363</v>
      </c>
    </row>
    <row r="363" spans="2:14" x14ac:dyDescent="0.25">
      <c r="B363" t="s">
        <v>363</v>
      </c>
      <c r="K363" s="19" t="str">
        <f t="shared" si="17"/>
        <v/>
      </c>
      <c r="L363" s="19" t="str">
        <f t="shared" ca="1" si="15"/>
        <v/>
      </c>
      <c r="M363" s="19" t="str">
        <f t="shared" si="16"/>
        <v/>
      </c>
      <c r="N363" s="19" t="s">
        <v>363</v>
      </c>
    </row>
    <row r="364" spans="2:14" x14ac:dyDescent="0.25">
      <c r="B364" t="s">
        <v>363</v>
      </c>
      <c r="K364" s="19" t="str">
        <f t="shared" si="17"/>
        <v/>
      </c>
      <c r="L364" s="19" t="str">
        <f t="shared" ca="1" si="15"/>
        <v/>
      </c>
      <c r="M364" s="19" t="str">
        <f t="shared" si="16"/>
        <v/>
      </c>
      <c r="N364" s="19" t="s">
        <v>363</v>
      </c>
    </row>
    <row r="365" spans="2:14" x14ac:dyDescent="0.25">
      <c r="B365" t="s">
        <v>363</v>
      </c>
      <c r="K365" s="19" t="str">
        <f t="shared" si="17"/>
        <v/>
      </c>
      <c r="L365" s="19" t="str">
        <f t="shared" ca="1" si="15"/>
        <v/>
      </c>
      <c r="M365" s="19" t="str">
        <f t="shared" si="16"/>
        <v/>
      </c>
      <c r="N365" s="19" t="s">
        <v>363</v>
      </c>
    </row>
    <row r="366" spans="2:14" x14ac:dyDescent="0.25">
      <c r="B366" t="s">
        <v>363</v>
      </c>
      <c r="K366" s="19" t="str">
        <f t="shared" si="17"/>
        <v/>
      </c>
      <c r="L366" s="19" t="str">
        <f t="shared" ca="1" si="15"/>
        <v/>
      </c>
      <c r="M366" s="19" t="str">
        <f t="shared" si="16"/>
        <v/>
      </c>
      <c r="N366" s="19" t="s">
        <v>363</v>
      </c>
    </row>
    <row r="367" spans="2:14" x14ac:dyDescent="0.25">
      <c r="B367" t="s">
        <v>363</v>
      </c>
      <c r="K367" s="19" t="str">
        <f t="shared" si="17"/>
        <v/>
      </c>
      <c r="L367" s="19" t="str">
        <f t="shared" ca="1" si="15"/>
        <v/>
      </c>
      <c r="M367" s="19" t="str">
        <f t="shared" si="16"/>
        <v/>
      </c>
      <c r="N367" s="19" t="s">
        <v>363</v>
      </c>
    </row>
    <row r="368" spans="2:14" x14ac:dyDescent="0.25">
      <c r="B368" t="s">
        <v>363</v>
      </c>
      <c r="K368" s="19" t="str">
        <f t="shared" si="17"/>
        <v/>
      </c>
      <c r="L368" s="19" t="str">
        <f t="shared" ca="1" si="15"/>
        <v/>
      </c>
      <c r="M368" s="19" t="str">
        <f t="shared" si="16"/>
        <v/>
      </c>
      <c r="N368" s="19" t="s">
        <v>363</v>
      </c>
    </row>
    <row r="369" spans="2:14" x14ac:dyDescent="0.25">
      <c r="B369" t="s">
        <v>363</v>
      </c>
      <c r="K369" s="19" t="str">
        <f t="shared" si="17"/>
        <v/>
      </c>
      <c r="L369" s="19" t="str">
        <f t="shared" ca="1" si="15"/>
        <v/>
      </c>
      <c r="M369" s="19" t="str">
        <f t="shared" si="16"/>
        <v/>
      </c>
      <c r="N369" s="19" t="s">
        <v>363</v>
      </c>
    </row>
    <row r="370" spans="2:14" x14ac:dyDescent="0.25">
      <c r="B370" t="s">
        <v>363</v>
      </c>
      <c r="K370" s="19" t="str">
        <f t="shared" si="17"/>
        <v/>
      </c>
      <c r="L370" s="19" t="str">
        <f t="shared" ca="1" si="15"/>
        <v/>
      </c>
      <c r="M370" s="19" t="str">
        <f t="shared" si="16"/>
        <v/>
      </c>
      <c r="N370" s="19" t="s">
        <v>363</v>
      </c>
    </row>
    <row r="371" spans="2:14" x14ac:dyDescent="0.25">
      <c r="B371" t="s">
        <v>363</v>
      </c>
      <c r="K371" s="19" t="str">
        <f t="shared" si="17"/>
        <v/>
      </c>
      <c r="L371" s="19" t="str">
        <f t="shared" ca="1" si="15"/>
        <v/>
      </c>
      <c r="M371" s="19" t="str">
        <f t="shared" si="16"/>
        <v/>
      </c>
      <c r="N371" s="19" t="s">
        <v>363</v>
      </c>
    </row>
    <row r="372" spans="2:14" x14ac:dyDescent="0.25">
      <c r="B372" t="s">
        <v>363</v>
      </c>
      <c r="K372" s="19" t="str">
        <f t="shared" si="17"/>
        <v/>
      </c>
      <c r="L372" s="19" t="str">
        <f t="shared" ca="1" si="15"/>
        <v/>
      </c>
      <c r="M372" s="19" t="str">
        <f t="shared" si="16"/>
        <v/>
      </c>
      <c r="N372" s="19" t="s">
        <v>363</v>
      </c>
    </row>
    <row r="373" spans="2:14" x14ac:dyDescent="0.25">
      <c r="B373" t="s">
        <v>363</v>
      </c>
      <c r="K373" s="19" t="str">
        <f t="shared" si="17"/>
        <v/>
      </c>
      <c r="L373" s="19" t="str">
        <f t="shared" ca="1" si="15"/>
        <v/>
      </c>
      <c r="M373" s="19" t="str">
        <f t="shared" si="16"/>
        <v/>
      </c>
      <c r="N373" s="19" t="s">
        <v>363</v>
      </c>
    </row>
    <row r="374" spans="2:14" x14ac:dyDescent="0.25">
      <c r="B374" t="s">
        <v>363</v>
      </c>
      <c r="K374" s="19" t="str">
        <f t="shared" si="17"/>
        <v/>
      </c>
      <c r="L374" s="19" t="str">
        <f t="shared" ca="1" si="15"/>
        <v/>
      </c>
      <c r="M374" s="19" t="str">
        <f t="shared" si="16"/>
        <v/>
      </c>
      <c r="N374" s="19" t="s">
        <v>363</v>
      </c>
    </row>
    <row r="375" spans="2:14" x14ac:dyDescent="0.25">
      <c r="B375" t="s">
        <v>363</v>
      </c>
      <c r="K375" s="19" t="str">
        <f t="shared" si="17"/>
        <v/>
      </c>
      <c r="L375" s="19" t="str">
        <f t="shared" ca="1" si="15"/>
        <v/>
      </c>
      <c r="M375" s="19" t="str">
        <f t="shared" si="16"/>
        <v/>
      </c>
      <c r="N375" s="19" t="s">
        <v>363</v>
      </c>
    </row>
    <row r="376" spans="2:14" x14ac:dyDescent="0.25">
      <c r="B376" t="s">
        <v>363</v>
      </c>
      <c r="K376" s="19" t="str">
        <f t="shared" si="17"/>
        <v/>
      </c>
      <c r="L376" s="19" t="str">
        <f t="shared" ca="1" si="15"/>
        <v/>
      </c>
      <c r="M376" s="19" t="str">
        <f t="shared" si="16"/>
        <v/>
      </c>
      <c r="N376" s="19" t="s">
        <v>363</v>
      </c>
    </row>
    <row r="377" spans="2:14" x14ac:dyDescent="0.25">
      <c r="B377" t="s">
        <v>363</v>
      </c>
      <c r="K377" s="19" t="str">
        <f t="shared" si="17"/>
        <v/>
      </c>
      <c r="L377" s="19" t="str">
        <f t="shared" ca="1" si="15"/>
        <v/>
      </c>
      <c r="M377" s="19" t="str">
        <f t="shared" si="16"/>
        <v/>
      </c>
      <c r="N377" s="19" t="s">
        <v>363</v>
      </c>
    </row>
    <row r="378" spans="2:14" x14ac:dyDescent="0.25">
      <c r="B378" t="s">
        <v>363</v>
      </c>
      <c r="K378" s="19" t="str">
        <f t="shared" si="17"/>
        <v/>
      </c>
      <c r="L378" s="19" t="str">
        <f t="shared" ca="1" si="15"/>
        <v/>
      </c>
      <c r="M378" s="19" t="str">
        <f t="shared" si="16"/>
        <v/>
      </c>
      <c r="N378" s="19" t="s">
        <v>363</v>
      </c>
    </row>
    <row r="379" spans="2:14" x14ac:dyDescent="0.25">
      <c r="B379" t="s">
        <v>363</v>
      </c>
      <c r="K379" s="19" t="str">
        <f t="shared" si="17"/>
        <v/>
      </c>
      <c r="L379" s="19" t="str">
        <f t="shared" ca="1" si="15"/>
        <v/>
      </c>
      <c r="M379" s="19" t="str">
        <f t="shared" si="16"/>
        <v/>
      </c>
      <c r="N379" s="19" t="s">
        <v>363</v>
      </c>
    </row>
    <row r="380" spans="2:14" x14ac:dyDescent="0.25">
      <c r="B380" t="s">
        <v>363</v>
      </c>
      <c r="K380" s="19" t="str">
        <f t="shared" si="17"/>
        <v/>
      </c>
      <c r="L380" s="19" t="str">
        <f t="shared" ca="1" si="15"/>
        <v/>
      </c>
      <c r="M380" s="19" t="str">
        <f t="shared" si="16"/>
        <v/>
      </c>
      <c r="N380" s="19" t="s">
        <v>363</v>
      </c>
    </row>
    <row r="381" spans="2:14" x14ac:dyDescent="0.25">
      <c r="B381" t="s">
        <v>363</v>
      </c>
      <c r="K381" s="19" t="str">
        <f t="shared" si="17"/>
        <v/>
      </c>
      <c r="L381" s="19" t="str">
        <f t="shared" ca="1" si="15"/>
        <v/>
      </c>
      <c r="M381" s="19" t="str">
        <f t="shared" si="16"/>
        <v/>
      </c>
      <c r="N381" s="19" t="s">
        <v>363</v>
      </c>
    </row>
    <row r="382" spans="2:14" x14ac:dyDescent="0.25">
      <c r="B382" t="s">
        <v>363</v>
      </c>
      <c r="K382" s="19" t="str">
        <f t="shared" si="17"/>
        <v/>
      </c>
      <c r="L382" s="19" t="str">
        <f t="shared" ca="1" si="15"/>
        <v/>
      </c>
      <c r="M382" s="19" t="str">
        <f t="shared" si="16"/>
        <v/>
      </c>
      <c r="N382" s="19" t="s">
        <v>363</v>
      </c>
    </row>
    <row r="383" spans="2:14" x14ac:dyDescent="0.25">
      <c r="B383" t="s">
        <v>363</v>
      </c>
      <c r="K383" s="19" t="str">
        <f t="shared" si="17"/>
        <v/>
      </c>
      <c r="L383" s="19" t="str">
        <f t="shared" ca="1" si="15"/>
        <v/>
      </c>
      <c r="M383" s="19" t="str">
        <f t="shared" si="16"/>
        <v/>
      </c>
      <c r="N383" s="19" t="s">
        <v>363</v>
      </c>
    </row>
    <row r="384" spans="2:14" x14ac:dyDescent="0.25">
      <c r="B384" t="s">
        <v>363</v>
      </c>
      <c r="K384" s="19" t="str">
        <f t="shared" si="17"/>
        <v/>
      </c>
      <c r="L384" s="19" t="str">
        <f t="shared" ca="1" si="15"/>
        <v/>
      </c>
      <c r="M384" s="19" t="str">
        <f t="shared" si="16"/>
        <v/>
      </c>
      <c r="N384" s="19" t="s">
        <v>363</v>
      </c>
    </row>
    <row r="385" spans="2:14" x14ac:dyDescent="0.25">
      <c r="B385" t="s">
        <v>363</v>
      </c>
      <c r="K385" s="19" t="str">
        <f t="shared" si="17"/>
        <v/>
      </c>
      <c r="L385" s="19" t="str">
        <f t="shared" ca="1" si="15"/>
        <v/>
      </c>
      <c r="M385" s="19" t="str">
        <f t="shared" si="16"/>
        <v/>
      </c>
      <c r="N385" s="19" t="s">
        <v>363</v>
      </c>
    </row>
    <row r="386" spans="2:14" x14ac:dyDescent="0.25">
      <c r="B386" t="s">
        <v>363</v>
      </c>
      <c r="K386" s="19" t="str">
        <f t="shared" si="17"/>
        <v/>
      </c>
      <c r="L386" s="19" t="str">
        <f t="shared" ref="L386:L449" ca="1" si="18">IF(A386="","",RANDBETWEEN(1,10))</f>
        <v/>
      </c>
      <c r="M386" s="19" t="str">
        <f t="shared" ref="M386:M449" si="19">IF(A386="","",IF(L386&lt;8,"calibracion","validacion"))</f>
        <v/>
      </c>
      <c r="N386" s="19" t="s">
        <v>363</v>
      </c>
    </row>
    <row r="387" spans="2:14" x14ac:dyDescent="0.25">
      <c r="B387" t="s">
        <v>363</v>
      </c>
      <c r="K387" s="19" t="str">
        <f t="shared" ref="K387:K450" si="20">IF(C387="","",C387-((TRUNC((C387/1000000),0))*1000000))</f>
        <v/>
      </c>
      <c r="L387" s="19" t="str">
        <f t="shared" ca="1" si="18"/>
        <v/>
      </c>
      <c r="M387" s="19" t="str">
        <f t="shared" si="19"/>
        <v/>
      </c>
      <c r="N387" s="19" t="s">
        <v>363</v>
      </c>
    </row>
    <row r="388" spans="2:14" x14ac:dyDescent="0.25">
      <c r="B388" t="s">
        <v>363</v>
      </c>
      <c r="K388" s="19" t="str">
        <f t="shared" si="20"/>
        <v/>
      </c>
      <c r="L388" s="19" t="str">
        <f t="shared" ca="1" si="18"/>
        <v/>
      </c>
      <c r="M388" s="19" t="str">
        <f t="shared" si="19"/>
        <v/>
      </c>
      <c r="N388" s="19" t="s">
        <v>363</v>
      </c>
    </row>
    <row r="389" spans="2:14" x14ac:dyDescent="0.25">
      <c r="B389" t="s">
        <v>363</v>
      </c>
      <c r="K389" s="19" t="str">
        <f t="shared" si="20"/>
        <v/>
      </c>
      <c r="L389" s="19" t="str">
        <f t="shared" ca="1" si="18"/>
        <v/>
      </c>
      <c r="M389" s="19" t="str">
        <f t="shared" si="19"/>
        <v/>
      </c>
      <c r="N389" s="19" t="s">
        <v>363</v>
      </c>
    </row>
    <row r="390" spans="2:14" x14ac:dyDescent="0.25">
      <c r="B390" t="s">
        <v>363</v>
      </c>
      <c r="K390" s="19" t="str">
        <f t="shared" si="20"/>
        <v/>
      </c>
      <c r="L390" s="19" t="str">
        <f t="shared" ca="1" si="18"/>
        <v/>
      </c>
      <c r="M390" s="19" t="str">
        <f t="shared" si="19"/>
        <v/>
      </c>
      <c r="N390" s="19" t="s">
        <v>363</v>
      </c>
    </row>
    <row r="391" spans="2:14" x14ac:dyDescent="0.25">
      <c r="B391" t="s">
        <v>363</v>
      </c>
      <c r="K391" s="19" t="str">
        <f t="shared" si="20"/>
        <v/>
      </c>
      <c r="L391" s="19" t="str">
        <f t="shared" ca="1" si="18"/>
        <v/>
      </c>
      <c r="M391" s="19" t="str">
        <f t="shared" si="19"/>
        <v/>
      </c>
      <c r="N391" s="19" t="s">
        <v>363</v>
      </c>
    </row>
    <row r="392" spans="2:14" x14ac:dyDescent="0.25">
      <c r="B392" t="s">
        <v>363</v>
      </c>
      <c r="K392" s="19" t="str">
        <f t="shared" si="20"/>
        <v/>
      </c>
      <c r="L392" s="19" t="str">
        <f t="shared" ca="1" si="18"/>
        <v/>
      </c>
      <c r="M392" s="19" t="str">
        <f t="shared" si="19"/>
        <v/>
      </c>
      <c r="N392" s="19" t="s">
        <v>363</v>
      </c>
    </row>
    <row r="393" spans="2:14" x14ac:dyDescent="0.25">
      <c r="B393" t="s">
        <v>363</v>
      </c>
      <c r="K393" s="19" t="str">
        <f t="shared" si="20"/>
        <v/>
      </c>
      <c r="L393" s="19" t="str">
        <f t="shared" ca="1" si="18"/>
        <v/>
      </c>
      <c r="M393" s="19" t="str">
        <f t="shared" si="19"/>
        <v/>
      </c>
      <c r="N393" s="19" t="s">
        <v>363</v>
      </c>
    </row>
    <row r="394" spans="2:14" x14ac:dyDescent="0.25">
      <c r="B394" t="s">
        <v>363</v>
      </c>
      <c r="K394" s="19" t="str">
        <f t="shared" si="20"/>
        <v/>
      </c>
      <c r="L394" s="19" t="str">
        <f t="shared" ca="1" si="18"/>
        <v/>
      </c>
      <c r="M394" s="19" t="str">
        <f t="shared" si="19"/>
        <v/>
      </c>
      <c r="N394" s="19" t="s">
        <v>363</v>
      </c>
    </row>
    <row r="395" spans="2:14" x14ac:dyDescent="0.25">
      <c r="B395" t="s">
        <v>363</v>
      </c>
      <c r="K395" s="19" t="str">
        <f t="shared" si="20"/>
        <v/>
      </c>
      <c r="L395" s="19" t="str">
        <f t="shared" ca="1" si="18"/>
        <v/>
      </c>
      <c r="M395" s="19" t="str">
        <f t="shared" si="19"/>
        <v/>
      </c>
      <c r="N395" s="19" t="s">
        <v>363</v>
      </c>
    </row>
    <row r="396" spans="2:14" x14ac:dyDescent="0.25">
      <c r="B396" t="s">
        <v>363</v>
      </c>
      <c r="K396" s="19" t="str">
        <f t="shared" si="20"/>
        <v/>
      </c>
      <c r="L396" s="19" t="str">
        <f t="shared" ca="1" si="18"/>
        <v/>
      </c>
      <c r="M396" s="19" t="str">
        <f t="shared" si="19"/>
        <v/>
      </c>
      <c r="N396" s="19" t="s">
        <v>363</v>
      </c>
    </row>
    <row r="397" spans="2:14" x14ac:dyDescent="0.25">
      <c r="B397" t="s">
        <v>363</v>
      </c>
      <c r="K397" s="19" t="str">
        <f t="shared" si="20"/>
        <v/>
      </c>
      <c r="L397" s="19" t="str">
        <f t="shared" ca="1" si="18"/>
        <v/>
      </c>
      <c r="M397" s="19" t="str">
        <f t="shared" si="19"/>
        <v/>
      </c>
      <c r="N397" s="19" t="s">
        <v>363</v>
      </c>
    </row>
    <row r="398" spans="2:14" x14ac:dyDescent="0.25">
      <c r="B398" t="s">
        <v>363</v>
      </c>
      <c r="K398" s="19" t="str">
        <f t="shared" si="20"/>
        <v/>
      </c>
      <c r="L398" s="19" t="str">
        <f t="shared" ca="1" si="18"/>
        <v/>
      </c>
      <c r="M398" s="19" t="str">
        <f t="shared" si="19"/>
        <v/>
      </c>
      <c r="N398" s="19" t="s">
        <v>363</v>
      </c>
    </row>
    <row r="399" spans="2:14" x14ac:dyDescent="0.25">
      <c r="B399" t="s">
        <v>363</v>
      </c>
      <c r="K399" s="19" t="str">
        <f t="shared" si="20"/>
        <v/>
      </c>
      <c r="L399" s="19" t="str">
        <f t="shared" ca="1" si="18"/>
        <v/>
      </c>
      <c r="M399" s="19" t="str">
        <f t="shared" si="19"/>
        <v/>
      </c>
      <c r="N399" s="19" t="s">
        <v>363</v>
      </c>
    </row>
    <row r="400" spans="2:14" x14ac:dyDescent="0.25">
      <c r="B400" t="s">
        <v>363</v>
      </c>
      <c r="K400" s="19" t="str">
        <f t="shared" si="20"/>
        <v/>
      </c>
      <c r="L400" s="19" t="str">
        <f t="shared" ca="1" si="18"/>
        <v/>
      </c>
      <c r="M400" s="19" t="str">
        <f t="shared" si="19"/>
        <v/>
      </c>
      <c r="N400" s="19" t="s">
        <v>363</v>
      </c>
    </row>
    <row r="401" spans="2:14" x14ac:dyDescent="0.25">
      <c r="B401" t="s">
        <v>363</v>
      </c>
      <c r="K401" s="19" t="str">
        <f t="shared" si="20"/>
        <v/>
      </c>
      <c r="L401" s="19" t="str">
        <f t="shared" ca="1" si="18"/>
        <v/>
      </c>
      <c r="M401" s="19" t="str">
        <f t="shared" si="19"/>
        <v/>
      </c>
      <c r="N401" s="19" t="s">
        <v>363</v>
      </c>
    </row>
    <row r="402" spans="2:14" x14ac:dyDescent="0.25">
      <c r="B402" t="s">
        <v>363</v>
      </c>
      <c r="K402" s="19" t="str">
        <f t="shared" si="20"/>
        <v/>
      </c>
      <c r="L402" s="19" t="str">
        <f t="shared" ca="1" si="18"/>
        <v/>
      </c>
      <c r="M402" s="19" t="str">
        <f t="shared" si="19"/>
        <v/>
      </c>
      <c r="N402" s="19" t="s">
        <v>363</v>
      </c>
    </row>
    <row r="403" spans="2:14" x14ac:dyDescent="0.25">
      <c r="B403" t="s">
        <v>363</v>
      </c>
      <c r="K403" s="19" t="str">
        <f t="shared" si="20"/>
        <v/>
      </c>
      <c r="L403" s="19" t="str">
        <f t="shared" ca="1" si="18"/>
        <v/>
      </c>
      <c r="M403" s="19" t="str">
        <f t="shared" si="19"/>
        <v/>
      </c>
      <c r="N403" s="19" t="s">
        <v>363</v>
      </c>
    </row>
    <row r="404" spans="2:14" x14ac:dyDescent="0.25">
      <c r="B404" t="s">
        <v>363</v>
      </c>
      <c r="K404" s="19" t="str">
        <f t="shared" si="20"/>
        <v/>
      </c>
      <c r="L404" s="19" t="str">
        <f t="shared" ca="1" si="18"/>
        <v/>
      </c>
      <c r="M404" s="19" t="str">
        <f t="shared" si="19"/>
        <v/>
      </c>
      <c r="N404" s="19" t="s">
        <v>363</v>
      </c>
    </row>
    <row r="405" spans="2:14" x14ac:dyDescent="0.25">
      <c r="B405" t="s">
        <v>363</v>
      </c>
      <c r="K405" s="19" t="str">
        <f t="shared" si="20"/>
        <v/>
      </c>
      <c r="L405" s="19" t="str">
        <f t="shared" ca="1" si="18"/>
        <v/>
      </c>
      <c r="M405" s="19" t="str">
        <f t="shared" si="19"/>
        <v/>
      </c>
      <c r="N405" s="19" t="s">
        <v>363</v>
      </c>
    </row>
    <row r="406" spans="2:14" x14ac:dyDescent="0.25">
      <c r="B406" t="s">
        <v>363</v>
      </c>
      <c r="K406" s="19" t="str">
        <f t="shared" si="20"/>
        <v/>
      </c>
      <c r="L406" s="19" t="str">
        <f t="shared" ca="1" si="18"/>
        <v/>
      </c>
      <c r="M406" s="19" t="str">
        <f t="shared" si="19"/>
        <v/>
      </c>
      <c r="N406" s="19" t="s">
        <v>363</v>
      </c>
    </row>
    <row r="407" spans="2:14" x14ac:dyDescent="0.25">
      <c r="B407" t="s">
        <v>363</v>
      </c>
      <c r="K407" s="19" t="str">
        <f t="shared" si="20"/>
        <v/>
      </c>
      <c r="L407" s="19" t="str">
        <f t="shared" ca="1" si="18"/>
        <v/>
      </c>
      <c r="M407" s="19" t="str">
        <f t="shared" si="19"/>
        <v/>
      </c>
      <c r="N407" s="19" t="s">
        <v>363</v>
      </c>
    </row>
    <row r="408" spans="2:14" x14ac:dyDescent="0.25">
      <c r="B408" t="s">
        <v>363</v>
      </c>
      <c r="K408" s="19" t="str">
        <f t="shared" si="20"/>
        <v/>
      </c>
      <c r="L408" s="19" t="str">
        <f t="shared" ca="1" si="18"/>
        <v/>
      </c>
      <c r="M408" s="19" t="str">
        <f t="shared" si="19"/>
        <v/>
      </c>
      <c r="N408" s="19" t="s">
        <v>363</v>
      </c>
    </row>
    <row r="409" spans="2:14" x14ac:dyDescent="0.25">
      <c r="B409" t="s">
        <v>363</v>
      </c>
      <c r="K409" s="19" t="str">
        <f t="shared" si="20"/>
        <v/>
      </c>
      <c r="L409" s="19" t="str">
        <f t="shared" ca="1" si="18"/>
        <v/>
      </c>
      <c r="M409" s="19" t="str">
        <f t="shared" si="19"/>
        <v/>
      </c>
      <c r="N409" s="19" t="s">
        <v>363</v>
      </c>
    </row>
    <row r="410" spans="2:14" x14ac:dyDescent="0.25">
      <c r="B410" t="s">
        <v>363</v>
      </c>
      <c r="K410" s="19" t="str">
        <f t="shared" si="20"/>
        <v/>
      </c>
      <c r="L410" s="19" t="str">
        <f t="shared" ca="1" si="18"/>
        <v/>
      </c>
      <c r="M410" s="19" t="str">
        <f t="shared" si="19"/>
        <v/>
      </c>
      <c r="N410" s="19" t="s">
        <v>363</v>
      </c>
    </row>
    <row r="411" spans="2:14" x14ac:dyDescent="0.25">
      <c r="B411" t="s">
        <v>363</v>
      </c>
      <c r="K411" s="19" t="str">
        <f t="shared" si="20"/>
        <v/>
      </c>
      <c r="L411" s="19" t="str">
        <f t="shared" ca="1" si="18"/>
        <v/>
      </c>
      <c r="M411" s="19" t="str">
        <f t="shared" si="19"/>
        <v/>
      </c>
      <c r="N411" s="19" t="s">
        <v>363</v>
      </c>
    </row>
    <row r="412" spans="2:14" x14ac:dyDescent="0.25">
      <c r="B412" t="s">
        <v>363</v>
      </c>
      <c r="K412" s="19" t="str">
        <f t="shared" si="20"/>
        <v/>
      </c>
      <c r="L412" s="19" t="str">
        <f t="shared" ca="1" si="18"/>
        <v/>
      </c>
      <c r="M412" s="19" t="str">
        <f t="shared" si="19"/>
        <v/>
      </c>
      <c r="N412" s="19" t="s">
        <v>363</v>
      </c>
    </row>
    <row r="413" spans="2:14" x14ac:dyDescent="0.25">
      <c r="B413" t="s">
        <v>363</v>
      </c>
      <c r="K413" s="19" t="str">
        <f t="shared" si="20"/>
        <v/>
      </c>
      <c r="L413" s="19" t="str">
        <f t="shared" ca="1" si="18"/>
        <v/>
      </c>
      <c r="M413" s="19" t="str">
        <f t="shared" si="19"/>
        <v/>
      </c>
      <c r="N413" s="19" t="s">
        <v>363</v>
      </c>
    </row>
    <row r="414" spans="2:14" x14ac:dyDescent="0.25">
      <c r="B414" t="s">
        <v>363</v>
      </c>
      <c r="K414" s="19" t="str">
        <f t="shared" si="20"/>
        <v/>
      </c>
      <c r="L414" s="19" t="str">
        <f t="shared" ca="1" si="18"/>
        <v/>
      </c>
      <c r="M414" s="19" t="str">
        <f t="shared" si="19"/>
        <v/>
      </c>
      <c r="N414" s="19" t="s">
        <v>363</v>
      </c>
    </row>
    <row r="415" spans="2:14" x14ac:dyDescent="0.25">
      <c r="B415" t="s">
        <v>363</v>
      </c>
      <c r="K415" s="19" t="str">
        <f t="shared" si="20"/>
        <v/>
      </c>
      <c r="L415" s="19" t="str">
        <f t="shared" ca="1" si="18"/>
        <v/>
      </c>
      <c r="M415" s="19" t="str">
        <f t="shared" si="19"/>
        <v/>
      </c>
      <c r="N415" s="19" t="s">
        <v>363</v>
      </c>
    </row>
    <row r="416" spans="2:14" x14ac:dyDescent="0.25">
      <c r="B416" t="s">
        <v>363</v>
      </c>
      <c r="K416" s="19" t="str">
        <f t="shared" si="20"/>
        <v/>
      </c>
      <c r="L416" s="19" t="str">
        <f t="shared" ca="1" si="18"/>
        <v/>
      </c>
      <c r="M416" s="19" t="str">
        <f t="shared" si="19"/>
        <v/>
      </c>
      <c r="N416" s="19" t="s">
        <v>363</v>
      </c>
    </row>
    <row r="417" spans="2:14" x14ac:dyDescent="0.25">
      <c r="B417" t="s">
        <v>363</v>
      </c>
      <c r="K417" s="19" t="str">
        <f t="shared" si="20"/>
        <v/>
      </c>
      <c r="L417" s="19" t="str">
        <f t="shared" ca="1" si="18"/>
        <v/>
      </c>
      <c r="M417" s="19" t="str">
        <f t="shared" si="19"/>
        <v/>
      </c>
      <c r="N417" s="19" t="s">
        <v>363</v>
      </c>
    </row>
    <row r="418" spans="2:14" x14ac:dyDescent="0.25">
      <c r="B418" t="s">
        <v>363</v>
      </c>
      <c r="K418" s="19" t="str">
        <f t="shared" si="20"/>
        <v/>
      </c>
      <c r="L418" s="19" t="str">
        <f t="shared" ca="1" si="18"/>
        <v/>
      </c>
      <c r="M418" s="19" t="str">
        <f t="shared" si="19"/>
        <v/>
      </c>
      <c r="N418" s="19" t="s">
        <v>363</v>
      </c>
    </row>
    <row r="419" spans="2:14" x14ac:dyDescent="0.25">
      <c r="B419" t="s">
        <v>363</v>
      </c>
      <c r="K419" s="19" t="str">
        <f t="shared" si="20"/>
        <v/>
      </c>
      <c r="L419" s="19" t="str">
        <f t="shared" ca="1" si="18"/>
        <v/>
      </c>
      <c r="M419" s="19" t="str">
        <f t="shared" si="19"/>
        <v/>
      </c>
      <c r="N419" s="19" t="s">
        <v>363</v>
      </c>
    </row>
    <row r="420" spans="2:14" x14ac:dyDescent="0.25">
      <c r="B420" t="s">
        <v>363</v>
      </c>
      <c r="K420" s="19" t="str">
        <f t="shared" si="20"/>
        <v/>
      </c>
      <c r="L420" s="19" t="str">
        <f t="shared" ca="1" si="18"/>
        <v/>
      </c>
      <c r="M420" s="19" t="str">
        <f t="shared" si="19"/>
        <v/>
      </c>
      <c r="N420" s="19" t="s">
        <v>363</v>
      </c>
    </row>
    <row r="421" spans="2:14" x14ac:dyDescent="0.25">
      <c r="B421" t="s">
        <v>363</v>
      </c>
      <c r="K421" s="19" t="str">
        <f t="shared" si="20"/>
        <v/>
      </c>
      <c r="L421" s="19" t="str">
        <f t="shared" ca="1" si="18"/>
        <v/>
      </c>
      <c r="M421" s="19" t="str">
        <f t="shared" si="19"/>
        <v/>
      </c>
      <c r="N421" s="19" t="s">
        <v>363</v>
      </c>
    </row>
    <row r="422" spans="2:14" x14ac:dyDescent="0.25">
      <c r="B422" t="s">
        <v>363</v>
      </c>
      <c r="K422" s="19" t="str">
        <f t="shared" si="20"/>
        <v/>
      </c>
      <c r="L422" s="19" t="str">
        <f t="shared" ca="1" si="18"/>
        <v/>
      </c>
      <c r="M422" s="19" t="str">
        <f t="shared" si="19"/>
        <v/>
      </c>
      <c r="N422" s="19" t="s">
        <v>363</v>
      </c>
    </row>
    <row r="423" spans="2:14" x14ac:dyDescent="0.25">
      <c r="B423" t="s">
        <v>363</v>
      </c>
      <c r="K423" s="19" t="str">
        <f t="shared" si="20"/>
        <v/>
      </c>
      <c r="L423" s="19" t="str">
        <f t="shared" ca="1" si="18"/>
        <v/>
      </c>
      <c r="M423" s="19" t="str">
        <f t="shared" si="19"/>
        <v/>
      </c>
      <c r="N423" s="19" t="s">
        <v>363</v>
      </c>
    </row>
    <row r="424" spans="2:14" x14ac:dyDescent="0.25">
      <c r="B424" t="s">
        <v>363</v>
      </c>
      <c r="K424" s="19" t="str">
        <f t="shared" si="20"/>
        <v/>
      </c>
      <c r="L424" s="19" t="str">
        <f t="shared" ca="1" si="18"/>
        <v/>
      </c>
      <c r="M424" s="19" t="str">
        <f t="shared" si="19"/>
        <v/>
      </c>
      <c r="N424" s="19" t="s">
        <v>363</v>
      </c>
    </row>
    <row r="425" spans="2:14" x14ac:dyDescent="0.25">
      <c r="B425" t="s">
        <v>363</v>
      </c>
      <c r="K425" s="19" t="str">
        <f t="shared" si="20"/>
        <v/>
      </c>
      <c r="L425" s="19" t="str">
        <f t="shared" ca="1" si="18"/>
        <v/>
      </c>
      <c r="M425" s="19" t="str">
        <f t="shared" si="19"/>
        <v/>
      </c>
      <c r="N425" s="19" t="s">
        <v>363</v>
      </c>
    </row>
    <row r="426" spans="2:14" x14ac:dyDescent="0.25">
      <c r="B426" t="s">
        <v>363</v>
      </c>
      <c r="K426" s="19" t="str">
        <f t="shared" si="20"/>
        <v/>
      </c>
      <c r="L426" s="19" t="str">
        <f t="shared" ca="1" si="18"/>
        <v/>
      </c>
      <c r="M426" s="19" t="str">
        <f t="shared" si="19"/>
        <v/>
      </c>
      <c r="N426" s="19" t="s">
        <v>363</v>
      </c>
    </row>
    <row r="427" spans="2:14" x14ac:dyDescent="0.25">
      <c r="B427" t="s">
        <v>363</v>
      </c>
      <c r="K427" s="19" t="str">
        <f t="shared" si="20"/>
        <v/>
      </c>
      <c r="L427" s="19" t="str">
        <f t="shared" ca="1" si="18"/>
        <v/>
      </c>
      <c r="M427" s="19" t="str">
        <f t="shared" si="19"/>
        <v/>
      </c>
      <c r="N427" s="19" t="s">
        <v>363</v>
      </c>
    </row>
    <row r="428" spans="2:14" x14ac:dyDescent="0.25">
      <c r="B428" t="s">
        <v>363</v>
      </c>
      <c r="K428" s="19" t="str">
        <f t="shared" si="20"/>
        <v/>
      </c>
      <c r="L428" s="19" t="str">
        <f t="shared" ca="1" si="18"/>
        <v/>
      </c>
      <c r="M428" s="19" t="str">
        <f t="shared" si="19"/>
        <v/>
      </c>
      <c r="N428" s="19" t="s">
        <v>363</v>
      </c>
    </row>
    <row r="429" spans="2:14" x14ac:dyDescent="0.25">
      <c r="B429" t="s">
        <v>363</v>
      </c>
      <c r="K429" s="19" t="str">
        <f t="shared" si="20"/>
        <v/>
      </c>
      <c r="L429" s="19" t="str">
        <f t="shared" ca="1" si="18"/>
        <v/>
      </c>
      <c r="M429" s="19" t="str">
        <f t="shared" si="19"/>
        <v/>
      </c>
      <c r="N429" s="19" t="s">
        <v>363</v>
      </c>
    </row>
    <row r="430" spans="2:14" x14ac:dyDescent="0.25">
      <c r="B430" t="s">
        <v>363</v>
      </c>
      <c r="K430" s="19" t="str">
        <f t="shared" si="20"/>
        <v/>
      </c>
      <c r="L430" s="19" t="str">
        <f t="shared" ca="1" si="18"/>
        <v/>
      </c>
      <c r="M430" s="19" t="str">
        <f t="shared" si="19"/>
        <v/>
      </c>
      <c r="N430" s="19" t="s">
        <v>363</v>
      </c>
    </row>
    <row r="431" spans="2:14" x14ac:dyDescent="0.25">
      <c r="B431" t="s">
        <v>363</v>
      </c>
      <c r="K431" s="19" t="str">
        <f t="shared" si="20"/>
        <v/>
      </c>
      <c r="L431" s="19" t="str">
        <f t="shared" ca="1" si="18"/>
        <v/>
      </c>
      <c r="M431" s="19" t="str">
        <f t="shared" si="19"/>
        <v/>
      </c>
      <c r="N431" s="19" t="s">
        <v>363</v>
      </c>
    </row>
    <row r="432" spans="2:14" x14ac:dyDescent="0.25">
      <c r="B432" t="s">
        <v>363</v>
      </c>
      <c r="K432" s="19" t="str">
        <f t="shared" si="20"/>
        <v/>
      </c>
      <c r="L432" s="19" t="str">
        <f t="shared" ca="1" si="18"/>
        <v/>
      </c>
      <c r="M432" s="19" t="str">
        <f t="shared" si="19"/>
        <v/>
      </c>
      <c r="N432" s="19" t="s">
        <v>363</v>
      </c>
    </row>
    <row r="433" spans="2:14" x14ac:dyDescent="0.25">
      <c r="B433" t="s">
        <v>363</v>
      </c>
      <c r="K433" s="19" t="str">
        <f t="shared" si="20"/>
        <v/>
      </c>
      <c r="L433" s="19" t="str">
        <f t="shared" ca="1" si="18"/>
        <v/>
      </c>
      <c r="M433" s="19" t="str">
        <f t="shared" si="19"/>
        <v/>
      </c>
      <c r="N433" s="19" t="s">
        <v>363</v>
      </c>
    </row>
    <row r="434" spans="2:14" x14ac:dyDescent="0.25">
      <c r="B434" t="s">
        <v>363</v>
      </c>
      <c r="K434" s="19" t="str">
        <f t="shared" si="20"/>
        <v/>
      </c>
      <c r="L434" s="19" t="str">
        <f t="shared" ca="1" si="18"/>
        <v/>
      </c>
      <c r="M434" s="19" t="str">
        <f t="shared" si="19"/>
        <v/>
      </c>
      <c r="N434" s="19" t="s">
        <v>363</v>
      </c>
    </row>
    <row r="435" spans="2:14" x14ac:dyDescent="0.25">
      <c r="B435" t="s">
        <v>363</v>
      </c>
      <c r="K435" s="19" t="str">
        <f t="shared" si="20"/>
        <v/>
      </c>
      <c r="L435" s="19" t="str">
        <f t="shared" ca="1" si="18"/>
        <v/>
      </c>
      <c r="M435" s="19" t="str">
        <f t="shared" si="19"/>
        <v/>
      </c>
      <c r="N435" s="19" t="s">
        <v>363</v>
      </c>
    </row>
    <row r="436" spans="2:14" x14ac:dyDescent="0.25">
      <c r="B436" t="s">
        <v>363</v>
      </c>
      <c r="K436" s="19" t="str">
        <f t="shared" si="20"/>
        <v/>
      </c>
      <c r="L436" s="19" t="str">
        <f t="shared" ca="1" si="18"/>
        <v/>
      </c>
      <c r="M436" s="19" t="str">
        <f t="shared" si="19"/>
        <v/>
      </c>
      <c r="N436" s="19" t="s">
        <v>363</v>
      </c>
    </row>
    <row r="437" spans="2:14" x14ac:dyDescent="0.25">
      <c r="B437" t="s">
        <v>363</v>
      </c>
      <c r="K437" s="19" t="str">
        <f t="shared" si="20"/>
        <v/>
      </c>
      <c r="L437" s="19" t="str">
        <f t="shared" ca="1" si="18"/>
        <v/>
      </c>
      <c r="M437" s="19" t="str">
        <f t="shared" si="19"/>
        <v/>
      </c>
      <c r="N437" s="19" t="s">
        <v>363</v>
      </c>
    </row>
    <row r="438" spans="2:14" x14ac:dyDescent="0.25">
      <c r="B438" t="s">
        <v>363</v>
      </c>
      <c r="K438" s="19" t="str">
        <f t="shared" si="20"/>
        <v/>
      </c>
      <c r="L438" s="19" t="str">
        <f t="shared" ca="1" si="18"/>
        <v/>
      </c>
      <c r="M438" s="19" t="str">
        <f t="shared" si="19"/>
        <v/>
      </c>
      <c r="N438" s="19" t="s">
        <v>363</v>
      </c>
    </row>
    <row r="439" spans="2:14" x14ac:dyDescent="0.25">
      <c r="B439" t="s">
        <v>363</v>
      </c>
      <c r="K439" s="19" t="str">
        <f t="shared" si="20"/>
        <v/>
      </c>
      <c r="L439" s="19" t="str">
        <f t="shared" ca="1" si="18"/>
        <v/>
      </c>
      <c r="M439" s="19" t="str">
        <f t="shared" si="19"/>
        <v/>
      </c>
      <c r="N439" s="19" t="s">
        <v>363</v>
      </c>
    </row>
    <row r="440" spans="2:14" x14ac:dyDescent="0.25">
      <c r="B440" t="s">
        <v>363</v>
      </c>
      <c r="K440" s="19" t="str">
        <f t="shared" si="20"/>
        <v/>
      </c>
      <c r="L440" s="19" t="str">
        <f t="shared" ca="1" si="18"/>
        <v/>
      </c>
      <c r="M440" s="19" t="str">
        <f t="shared" si="19"/>
        <v/>
      </c>
      <c r="N440" s="19" t="s">
        <v>363</v>
      </c>
    </row>
    <row r="441" spans="2:14" x14ac:dyDescent="0.25">
      <c r="B441" t="s">
        <v>363</v>
      </c>
      <c r="K441" s="19" t="str">
        <f t="shared" si="20"/>
        <v/>
      </c>
      <c r="L441" s="19" t="str">
        <f t="shared" ca="1" si="18"/>
        <v/>
      </c>
      <c r="M441" s="19" t="str">
        <f t="shared" si="19"/>
        <v/>
      </c>
      <c r="N441" s="19" t="s">
        <v>363</v>
      </c>
    </row>
    <row r="442" spans="2:14" x14ac:dyDescent="0.25">
      <c r="B442" t="s">
        <v>363</v>
      </c>
      <c r="K442" s="19" t="str">
        <f t="shared" si="20"/>
        <v/>
      </c>
      <c r="L442" s="19" t="str">
        <f t="shared" ca="1" si="18"/>
        <v/>
      </c>
      <c r="M442" s="19" t="str">
        <f t="shared" si="19"/>
        <v/>
      </c>
      <c r="N442" s="19" t="s">
        <v>363</v>
      </c>
    </row>
    <row r="443" spans="2:14" x14ac:dyDescent="0.25">
      <c r="B443" t="s">
        <v>363</v>
      </c>
      <c r="K443" s="19" t="str">
        <f t="shared" si="20"/>
        <v/>
      </c>
      <c r="L443" s="19" t="str">
        <f t="shared" ca="1" si="18"/>
        <v/>
      </c>
      <c r="M443" s="19" t="str">
        <f t="shared" si="19"/>
        <v/>
      </c>
      <c r="N443" s="19" t="s">
        <v>363</v>
      </c>
    </row>
    <row r="444" spans="2:14" x14ac:dyDescent="0.25">
      <c r="B444" t="s">
        <v>363</v>
      </c>
      <c r="K444" s="19" t="str">
        <f t="shared" si="20"/>
        <v/>
      </c>
      <c r="L444" s="19" t="str">
        <f t="shared" ca="1" si="18"/>
        <v/>
      </c>
      <c r="M444" s="19" t="str">
        <f t="shared" si="19"/>
        <v/>
      </c>
      <c r="N444" s="19" t="s">
        <v>363</v>
      </c>
    </row>
    <row r="445" spans="2:14" x14ac:dyDescent="0.25">
      <c r="B445" t="s">
        <v>363</v>
      </c>
      <c r="K445" s="19" t="str">
        <f t="shared" si="20"/>
        <v/>
      </c>
      <c r="L445" s="19" t="str">
        <f t="shared" ca="1" si="18"/>
        <v/>
      </c>
      <c r="M445" s="19" t="str">
        <f t="shared" si="19"/>
        <v/>
      </c>
      <c r="N445" s="19" t="s">
        <v>363</v>
      </c>
    </row>
    <row r="446" spans="2:14" x14ac:dyDescent="0.25">
      <c r="B446" t="s">
        <v>363</v>
      </c>
      <c r="K446" s="19" t="str">
        <f t="shared" si="20"/>
        <v/>
      </c>
      <c r="L446" s="19" t="str">
        <f t="shared" ca="1" si="18"/>
        <v/>
      </c>
      <c r="M446" s="19" t="str">
        <f t="shared" si="19"/>
        <v/>
      </c>
      <c r="N446" s="19" t="s">
        <v>363</v>
      </c>
    </row>
    <row r="447" spans="2:14" x14ac:dyDescent="0.25">
      <c r="B447" t="s">
        <v>363</v>
      </c>
      <c r="K447" s="19" t="str">
        <f t="shared" si="20"/>
        <v/>
      </c>
      <c r="L447" s="19" t="str">
        <f t="shared" ca="1" si="18"/>
        <v/>
      </c>
      <c r="M447" s="19" t="str">
        <f t="shared" si="19"/>
        <v/>
      </c>
      <c r="N447" s="19" t="s">
        <v>363</v>
      </c>
    </row>
    <row r="448" spans="2:14" x14ac:dyDescent="0.25">
      <c r="B448" t="s">
        <v>363</v>
      </c>
      <c r="K448" s="19" t="str">
        <f t="shared" si="20"/>
        <v/>
      </c>
      <c r="L448" s="19" t="str">
        <f t="shared" ca="1" si="18"/>
        <v/>
      </c>
      <c r="M448" s="19" t="str">
        <f t="shared" si="19"/>
        <v/>
      </c>
      <c r="N448" s="19" t="s">
        <v>363</v>
      </c>
    </row>
    <row r="449" spans="2:14" x14ac:dyDescent="0.25">
      <c r="B449" t="s">
        <v>363</v>
      </c>
      <c r="K449" s="19" t="str">
        <f t="shared" si="20"/>
        <v/>
      </c>
      <c r="L449" s="19" t="str">
        <f t="shared" ca="1" si="18"/>
        <v/>
      </c>
      <c r="M449" s="19" t="str">
        <f t="shared" si="19"/>
        <v/>
      </c>
      <c r="N449" s="19" t="s">
        <v>363</v>
      </c>
    </row>
    <row r="450" spans="2:14" x14ac:dyDescent="0.25">
      <c r="B450" t="s">
        <v>363</v>
      </c>
      <c r="K450" s="19" t="str">
        <f t="shared" si="20"/>
        <v/>
      </c>
      <c r="L450" s="19" t="str">
        <f t="shared" ref="L450:L513" ca="1" si="21">IF(A450="","",RANDBETWEEN(1,10))</f>
        <v/>
      </c>
      <c r="M450" s="19" t="str">
        <f t="shared" ref="M450:M513" si="22">IF(A450="","",IF(L450&lt;8,"calibracion","validacion"))</f>
        <v/>
      </c>
      <c r="N450" s="19" t="s">
        <v>363</v>
      </c>
    </row>
    <row r="451" spans="2:14" x14ac:dyDescent="0.25">
      <c r="B451" t="s">
        <v>363</v>
      </c>
      <c r="K451" s="19" t="str">
        <f t="shared" ref="K451:K500" si="23">IF(C451="","",C451-((TRUNC((C451/1000000),0))*1000000))</f>
        <v/>
      </c>
      <c r="L451" s="19" t="str">
        <f t="shared" ca="1" si="21"/>
        <v/>
      </c>
      <c r="M451" s="19" t="str">
        <f t="shared" si="22"/>
        <v/>
      </c>
      <c r="N451" s="19" t="s">
        <v>363</v>
      </c>
    </row>
    <row r="452" spans="2:14" x14ac:dyDescent="0.25">
      <c r="B452" t="s">
        <v>363</v>
      </c>
      <c r="K452" s="19" t="str">
        <f t="shared" si="23"/>
        <v/>
      </c>
      <c r="L452" s="19" t="str">
        <f t="shared" ca="1" si="21"/>
        <v/>
      </c>
      <c r="M452" s="19" t="str">
        <f t="shared" si="22"/>
        <v/>
      </c>
      <c r="N452" s="19" t="s">
        <v>363</v>
      </c>
    </row>
    <row r="453" spans="2:14" x14ac:dyDescent="0.25">
      <c r="B453" t="s">
        <v>363</v>
      </c>
      <c r="K453" s="19" t="str">
        <f t="shared" si="23"/>
        <v/>
      </c>
      <c r="L453" s="19" t="str">
        <f t="shared" ca="1" si="21"/>
        <v/>
      </c>
      <c r="M453" s="19" t="str">
        <f t="shared" si="22"/>
        <v/>
      </c>
      <c r="N453" s="19" t="s">
        <v>363</v>
      </c>
    </row>
    <row r="454" spans="2:14" x14ac:dyDescent="0.25">
      <c r="B454" t="s">
        <v>363</v>
      </c>
      <c r="K454" s="19" t="str">
        <f t="shared" si="23"/>
        <v/>
      </c>
      <c r="L454" s="19" t="str">
        <f t="shared" ca="1" si="21"/>
        <v/>
      </c>
      <c r="M454" s="19" t="str">
        <f t="shared" si="22"/>
        <v/>
      </c>
      <c r="N454" s="19" t="s">
        <v>363</v>
      </c>
    </row>
    <row r="455" spans="2:14" x14ac:dyDescent="0.25">
      <c r="B455" t="s">
        <v>363</v>
      </c>
      <c r="K455" s="19" t="str">
        <f t="shared" si="23"/>
        <v/>
      </c>
      <c r="L455" s="19" t="str">
        <f t="shared" ca="1" si="21"/>
        <v/>
      </c>
      <c r="M455" s="19" t="str">
        <f t="shared" si="22"/>
        <v/>
      </c>
      <c r="N455" s="19" t="s">
        <v>363</v>
      </c>
    </row>
    <row r="456" spans="2:14" x14ac:dyDescent="0.25">
      <c r="B456" t="s">
        <v>363</v>
      </c>
      <c r="K456" s="19" t="str">
        <f t="shared" si="23"/>
        <v/>
      </c>
      <c r="L456" s="19" t="str">
        <f t="shared" ca="1" si="21"/>
        <v/>
      </c>
      <c r="M456" s="19" t="str">
        <f t="shared" si="22"/>
        <v/>
      </c>
      <c r="N456" s="19" t="s">
        <v>363</v>
      </c>
    </row>
    <row r="457" spans="2:14" x14ac:dyDescent="0.25">
      <c r="B457" t="s">
        <v>363</v>
      </c>
      <c r="K457" s="19" t="str">
        <f t="shared" si="23"/>
        <v/>
      </c>
      <c r="L457" s="19" t="str">
        <f t="shared" ca="1" si="21"/>
        <v/>
      </c>
      <c r="M457" s="19" t="str">
        <f t="shared" si="22"/>
        <v/>
      </c>
      <c r="N457" s="19" t="s">
        <v>363</v>
      </c>
    </row>
    <row r="458" spans="2:14" x14ac:dyDescent="0.25">
      <c r="B458" t="s">
        <v>363</v>
      </c>
      <c r="K458" s="19" t="str">
        <f t="shared" si="23"/>
        <v/>
      </c>
      <c r="L458" s="19" t="str">
        <f t="shared" ca="1" si="21"/>
        <v/>
      </c>
      <c r="M458" s="19" t="str">
        <f t="shared" si="22"/>
        <v/>
      </c>
      <c r="N458" s="19" t="s">
        <v>363</v>
      </c>
    </row>
    <row r="459" spans="2:14" x14ac:dyDescent="0.25">
      <c r="B459" t="s">
        <v>363</v>
      </c>
      <c r="K459" s="19" t="str">
        <f t="shared" si="23"/>
        <v/>
      </c>
      <c r="L459" s="19" t="str">
        <f t="shared" ca="1" si="21"/>
        <v/>
      </c>
      <c r="M459" s="19" t="str">
        <f t="shared" si="22"/>
        <v/>
      </c>
      <c r="N459" s="19" t="s">
        <v>363</v>
      </c>
    </row>
    <row r="460" spans="2:14" x14ac:dyDescent="0.25">
      <c r="B460" t="s">
        <v>363</v>
      </c>
      <c r="K460" s="19" t="str">
        <f t="shared" si="23"/>
        <v/>
      </c>
      <c r="L460" s="19" t="str">
        <f t="shared" ca="1" si="21"/>
        <v/>
      </c>
      <c r="M460" s="19" t="str">
        <f t="shared" si="22"/>
        <v/>
      </c>
      <c r="N460" s="19" t="s">
        <v>363</v>
      </c>
    </row>
    <row r="461" spans="2:14" x14ac:dyDescent="0.25">
      <c r="B461" t="s">
        <v>363</v>
      </c>
      <c r="K461" s="19" t="str">
        <f t="shared" si="23"/>
        <v/>
      </c>
      <c r="L461" s="19" t="str">
        <f t="shared" ca="1" si="21"/>
        <v/>
      </c>
      <c r="M461" s="19" t="str">
        <f t="shared" si="22"/>
        <v/>
      </c>
      <c r="N461" s="19" t="s">
        <v>363</v>
      </c>
    </row>
    <row r="462" spans="2:14" x14ac:dyDescent="0.25">
      <c r="B462" t="s">
        <v>363</v>
      </c>
      <c r="K462" s="19" t="str">
        <f t="shared" si="23"/>
        <v/>
      </c>
      <c r="L462" s="19" t="str">
        <f t="shared" ca="1" si="21"/>
        <v/>
      </c>
      <c r="M462" s="19" t="str">
        <f t="shared" si="22"/>
        <v/>
      </c>
      <c r="N462" s="19" t="s">
        <v>363</v>
      </c>
    </row>
    <row r="463" spans="2:14" x14ac:dyDescent="0.25">
      <c r="B463" t="s">
        <v>363</v>
      </c>
      <c r="K463" s="19" t="str">
        <f t="shared" si="23"/>
        <v/>
      </c>
      <c r="L463" s="19" t="str">
        <f t="shared" ca="1" si="21"/>
        <v/>
      </c>
      <c r="M463" s="19" t="str">
        <f t="shared" si="22"/>
        <v/>
      </c>
      <c r="N463" s="19" t="s">
        <v>363</v>
      </c>
    </row>
    <row r="464" spans="2:14" x14ac:dyDescent="0.25">
      <c r="B464" t="s">
        <v>363</v>
      </c>
      <c r="K464" s="19" t="str">
        <f t="shared" si="23"/>
        <v/>
      </c>
      <c r="L464" s="19" t="str">
        <f t="shared" ca="1" si="21"/>
        <v/>
      </c>
      <c r="M464" s="19" t="str">
        <f t="shared" si="22"/>
        <v/>
      </c>
      <c r="N464" s="19" t="s">
        <v>363</v>
      </c>
    </row>
    <row r="465" spans="2:14" x14ac:dyDescent="0.25">
      <c r="B465" t="s">
        <v>363</v>
      </c>
      <c r="K465" s="19" t="str">
        <f t="shared" si="23"/>
        <v/>
      </c>
      <c r="L465" s="19" t="str">
        <f t="shared" ca="1" si="21"/>
        <v/>
      </c>
      <c r="M465" s="19" t="str">
        <f t="shared" si="22"/>
        <v/>
      </c>
      <c r="N465" s="19" t="s">
        <v>363</v>
      </c>
    </row>
    <row r="466" spans="2:14" x14ac:dyDescent="0.25">
      <c r="B466" t="s">
        <v>363</v>
      </c>
      <c r="K466" s="19" t="str">
        <f t="shared" si="23"/>
        <v/>
      </c>
      <c r="L466" s="19" t="str">
        <f t="shared" ca="1" si="21"/>
        <v/>
      </c>
      <c r="M466" s="19" t="str">
        <f t="shared" si="22"/>
        <v/>
      </c>
      <c r="N466" s="19" t="s">
        <v>363</v>
      </c>
    </row>
    <row r="467" spans="2:14" x14ac:dyDescent="0.25">
      <c r="B467" t="s">
        <v>363</v>
      </c>
      <c r="K467" s="19" t="str">
        <f t="shared" si="23"/>
        <v/>
      </c>
      <c r="L467" s="19" t="str">
        <f t="shared" ca="1" si="21"/>
        <v/>
      </c>
      <c r="M467" s="19" t="str">
        <f t="shared" si="22"/>
        <v/>
      </c>
      <c r="N467" s="19" t="s">
        <v>363</v>
      </c>
    </row>
    <row r="468" spans="2:14" x14ac:dyDescent="0.25">
      <c r="B468" t="s">
        <v>363</v>
      </c>
      <c r="K468" s="19" t="str">
        <f t="shared" si="23"/>
        <v/>
      </c>
      <c r="L468" s="19" t="str">
        <f t="shared" ca="1" si="21"/>
        <v/>
      </c>
      <c r="M468" s="19" t="str">
        <f t="shared" si="22"/>
        <v/>
      </c>
      <c r="N468" s="19" t="s">
        <v>363</v>
      </c>
    </row>
    <row r="469" spans="2:14" x14ac:dyDescent="0.25">
      <c r="B469" t="s">
        <v>363</v>
      </c>
      <c r="K469" s="19" t="str">
        <f t="shared" si="23"/>
        <v/>
      </c>
      <c r="L469" s="19" t="str">
        <f t="shared" ca="1" si="21"/>
        <v/>
      </c>
      <c r="M469" s="19" t="str">
        <f t="shared" si="22"/>
        <v/>
      </c>
      <c r="N469" s="19" t="s">
        <v>363</v>
      </c>
    </row>
    <row r="470" spans="2:14" x14ac:dyDescent="0.25">
      <c r="B470" t="s">
        <v>363</v>
      </c>
      <c r="K470" s="19" t="str">
        <f t="shared" si="23"/>
        <v/>
      </c>
      <c r="L470" s="19" t="str">
        <f t="shared" ca="1" si="21"/>
        <v/>
      </c>
      <c r="M470" s="19" t="str">
        <f t="shared" si="22"/>
        <v/>
      </c>
      <c r="N470" s="19" t="s">
        <v>363</v>
      </c>
    </row>
    <row r="471" spans="2:14" x14ac:dyDescent="0.25">
      <c r="B471" t="s">
        <v>363</v>
      </c>
      <c r="K471" s="19" t="str">
        <f t="shared" si="23"/>
        <v/>
      </c>
      <c r="L471" s="19" t="str">
        <f t="shared" ca="1" si="21"/>
        <v/>
      </c>
      <c r="M471" s="19" t="str">
        <f t="shared" si="22"/>
        <v/>
      </c>
      <c r="N471" s="19" t="s">
        <v>363</v>
      </c>
    </row>
    <row r="472" spans="2:14" x14ac:dyDescent="0.25">
      <c r="B472" t="s">
        <v>363</v>
      </c>
      <c r="K472" s="19" t="str">
        <f t="shared" si="23"/>
        <v/>
      </c>
      <c r="L472" s="19" t="str">
        <f t="shared" ca="1" si="21"/>
        <v/>
      </c>
      <c r="M472" s="19" t="str">
        <f t="shared" si="22"/>
        <v/>
      </c>
      <c r="N472" s="19" t="s">
        <v>363</v>
      </c>
    </row>
    <row r="473" spans="2:14" x14ac:dyDescent="0.25">
      <c r="B473" t="s">
        <v>363</v>
      </c>
      <c r="K473" s="19" t="str">
        <f t="shared" si="23"/>
        <v/>
      </c>
      <c r="L473" s="19" t="str">
        <f t="shared" ca="1" si="21"/>
        <v/>
      </c>
      <c r="M473" s="19" t="str">
        <f t="shared" si="22"/>
        <v/>
      </c>
      <c r="N473" s="19" t="s">
        <v>363</v>
      </c>
    </row>
    <row r="474" spans="2:14" x14ac:dyDescent="0.25">
      <c r="B474" t="s">
        <v>363</v>
      </c>
      <c r="K474" s="19" t="str">
        <f t="shared" si="23"/>
        <v/>
      </c>
      <c r="L474" s="19" t="str">
        <f t="shared" ca="1" si="21"/>
        <v/>
      </c>
      <c r="M474" s="19" t="str">
        <f t="shared" si="22"/>
        <v/>
      </c>
      <c r="N474" s="19" t="s">
        <v>363</v>
      </c>
    </row>
    <row r="475" spans="2:14" x14ac:dyDescent="0.25">
      <c r="B475" t="s">
        <v>363</v>
      </c>
      <c r="K475" s="19" t="str">
        <f t="shared" si="23"/>
        <v/>
      </c>
      <c r="L475" s="19" t="str">
        <f t="shared" ca="1" si="21"/>
        <v/>
      </c>
      <c r="M475" s="19" t="str">
        <f t="shared" si="22"/>
        <v/>
      </c>
      <c r="N475" s="19" t="s">
        <v>363</v>
      </c>
    </row>
    <row r="476" spans="2:14" x14ac:dyDescent="0.25">
      <c r="B476" t="s">
        <v>363</v>
      </c>
      <c r="K476" s="19" t="str">
        <f t="shared" si="23"/>
        <v/>
      </c>
      <c r="L476" s="19" t="str">
        <f t="shared" ca="1" si="21"/>
        <v/>
      </c>
      <c r="M476" s="19" t="str">
        <f t="shared" si="22"/>
        <v/>
      </c>
      <c r="N476" s="19" t="s">
        <v>363</v>
      </c>
    </row>
    <row r="477" spans="2:14" x14ac:dyDescent="0.25">
      <c r="B477" t="s">
        <v>363</v>
      </c>
      <c r="K477" s="19" t="str">
        <f t="shared" si="23"/>
        <v/>
      </c>
      <c r="L477" s="19" t="str">
        <f t="shared" ca="1" si="21"/>
        <v/>
      </c>
      <c r="M477" s="19" t="str">
        <f t="shared" si="22"/>
        <v/>
      </c>
      <c r="N477" s="19" t="s">
        <v>363</v>
      </c>
    </row>
    <row r="478" spans="2:14" x14ac:dyDescent="0.25">
      <c r="B478" t="s">
        <v>363</v>
      </c>
      <c r="K478" s="19" t="str">
        <f t="shared" si="23"/>
        <v/>
      </c>
      <c r="L478" s="19" t="str">
        <f t="shared" ca="1" si="21"/>
        <v/>
      </c>
      <c r="M478" s="19" t="str">
        <f t="shared" si="22"/>
        <v/>
      </c>
      <c r="N478" s="19" t="s">
        <v>363</v>
      </c>
    </row>
    <row r="479" spans="2:14" x14ac:dyDescent="0.25">
      <c r="B479" t="s">
        <v>363</v>
      </c>
      <c r="K479" s="19" t="str">
        <f t="shared" si="23"/>
        <v/>
      </c>
      <c r="L479" s="19" t="str">
        <f t="shared" ca="1" si="21"/>
        <v/>
      </c>
      <c r="M479" s="19" t="str">
        <f t="shared" si="22"/>
        <v/>
      </c>
      <c r="N479" s="19" t="s">
        <v>363</v>
      </c>
    </row>
    <row r="480" spans="2:14" x14ac:dyDescent="0.25">
      <c r="B480" t="s">
        <v>363</v>
      </c>
      <c r="K480" s="19" t="str">
        <f t="shared" si="23"/>
        <v/>
      </c>
      <c r="L480" s="19" t="str">
        <f t="shared" ca="1" si="21"/>
        <v/>
      </c>
      <c r="M480" s="19" t="str">
        <f t="shared" si="22"/>
        <v/>
      </c>
      <c r="N480" s="19" t="s">
        <v>363</v>
      </c>
    </row>
    <row r="481" spans="2:14" x14ac:dyDescent="0.25">
      <c r="B481" t="s">
        <v>363</v>
      </c>
      <c r="K481" s="19" t="str">
        <f t="shared" si="23"/>
        <v/>
      </c>
      <c r="L481" s="19" t="str">
        <f t="shared" ca="1" si="21"/>
        <v/>
      </c>
      <c r="M481" s="19" t="str">
        <f t="shared" si="22"/>
        <v/>
      </c>
      <c r="N481" s="19" t="s">
        <v>363</v>
      </c>
    </row>
    <row r="482" spans="2:14" x14ac:dyDescent="0.25">
      <c r="B482" t="s">
        <v>363</v>
      </c>
      <c r="K482" s="19" t="str">
        <f t="shared" si="23"/>
        <v/>
      </c>
      <c r="L482" s="19" t="str">
        <f t="shared" ca="1" si="21"/>
        <v/>
      </c>
      <c r="M482" s="19" t="str">
        <f t="shared" si="22"/>
        <v/>
      </c>
      <c r="N482" s="19" t="s">
        <v>363</v>
      </c>
    </row>
    <row r="483" spans="2:14" x14ac:dyDescent="0.25">
      <c r="B483" t="s">
        <v>363</v>
      </c>
      <c r="K483" s="19" t="str">
        <f t="shared" si="23"/>
        <v/>
      </c>
      <c r="L483" s="19" t="str">
        <f t="shared" ca="1" si="21"/>
        <v/>
      </c>
      <c r="M483" s="19" t="str">
        <f t="shared" si="22"/>
        <v/>
      </c>
      <c r="N483" s="19" t="s">
        <v>363</v>
      </c>
    </row>
    <row r="484" spans="2:14" x14ac:dyDescent="0.25">
      <c r="B484" t="s">
        <v>363</v>
      </c>
      <c r="K484" s="19" t="str">
        <f t="shared" si="23"/>
        <v/>
      </c>
      <c r="L484" s="19" t="str">
        <f t="shared" ca="1" si="21"/>
        <v/>
      </c>
      <c r="M484" s="19" t="str">
        <f t="shared" si="22"/>
        <v/>
      </c>
      <c r="N484" s="19" t="s">
        <v>363</v>
      </c>
    </row>
    <row r="485" spans="2:14" x14ac:dyDescent="0.25">
      <c r="B485" t="s">
        <v>363</v>
      </c>
      <c r="K485" s="19" t="str">
        <f t="shared" si="23"/>
        <v/>
      </c>
      <c r="L485" s="19" t="str">
        <f t="shared" ca="1" si="21"/>
        <v/>
      </c>
      <c r="M485" s="19" t="str">
        <f t="shared" si="22"/>
        <v/>
      </c>
      <c r="N485" s="19" t="s">
        <v>363</v>
      </c>
    </row>
    <row r="486" spans="2:14" x14ac:dyDescent="0.25">
      <c r="B486" t="s">
        <v>363</v>
      </c>
      <c r="K486" s="19" t="str">
        <f t="shared" si="23"/>
        <v/>
      </c>
      <c r="L486" s="19" t="str">
        <f t="shared" ca="1" si="21"/>
        <v/>
      </c>
      <c r="M486" s="19" t="str">
        <f t="shared" si="22"/>
        <v/>
      </c>
      <c r="N486" s="19" t="s">
        <v>363</v>
      </c>
    </row>
    <row r="487" spans="2:14" x14ac:dyDescent="0.25">
      <c r="B487" t="s">
        <v>363</v>
      </c>
      <c r="K487" s="19" t="str">
        <f t="shared" si="23"/>
        <v/>
      </c>
      <c r="L487" s="19" t="str">
        <f t="shared" ca="1" si="21"/>
        <v/>
      </c>
      <c r="M487" s="19" t="str">
        <f t="shared" si="22"/>
        <v/>
      </c>
      <c r="N487" s="19" t="s">
        <v>363</v>
      </c>
    </row>
    <row r="488" spans="2:14" x14ac:dyDescent="0.25">
      <c r="B488" t="s">
        <v>363</v>
      </c>
      <c r="K488" s="19" t="str">
        <f t="shared" si="23"/>
        <v/>
      </c>
      <c r="L488" s="19" t="str">
        <f t="shared" ca="1" si="21"/>
        <v/>
      </c>
      <c r="M488" s="19" t="str">
        <f t="shared" si="22"/>
        <v/>
      </c>
      <c r="N488" s="19" t="s">
        <v>363</v>
      </c>
    </row>
    <row r="489" spans="2:14" x14ac:dyDescent="0.25">
      <c r="B489" t="s">
        <v>363</v>
      </c>
      <c r="K489" s="19" t="str">
        <f t="shared" si="23"/>
        <v/>
      </c>
      <c r="L489" s="19" t="str">
        <f t="shared" ca="1" si="21"/>
        <v/>
      </c>
      <c r="M489" s="19" t="str">
        <f t="shared" si="22"/>
        <v/>
      </c>
      <c r="N489" s="19" t="s">
        <v>363</v>
      </c>
    </row>
    <row r="490" spans="2:14" x14ac:dyDescent="0.25">
      <c r="B490" t="s">
        <v>363</v>
      </c>
      <c r="K490" s="19" t="str">
        <f t="shared" si="23"/>
        <v/>
      </c>
      <c r="L490" s="19" t="str">
        <f t="shared" ca="1" si="21"/>
        <v/>
      </c>
      <c r="M490" s="19" t="str">
        <f t="shared" si="22"/>
        <v/>
      </c>
      <c r="N490" s="19" t="s">
        <v>363</v>
      </c>
    </row>
    <row r="491" spans="2:14" x14ac:dyDescent="0.25">
      <c r="B491" t="s">
        <v>363</v>
      </c>
      <c r="K491" s="19" t="str">
        <f t="shared" si="23"/>
        <v/>
      </c>
      <c r="L491" s="19" t="str">
        <f t="shared" ca="1" si="21"/>
        <v/>
      </c>
      <c r="M491" s="19" t="str">
        <f t="shared" si="22"/>
        <v/>
      </c>
      <c r="N491" s="19" t="s">
        <v>363</v>
      </c>
    </row>
    <row r="492" spans="2:14" x14ac:dyDescent="0.25">
      <c r="B492" t="s">
        <v>363</v>
      </c>
      <c r="K492" s="19" t="str">
        <f t="shared" si="23"/>
        <v/>
      </c>
      <c r="L492" s="19" t="str">
        <f t="shared" ca="1" si="21"/>
        <v/>
      </c>
      <c r="M492" s="19" t="str">
        <f t="shared" si="22"/>
        <v/>
      </c>
      <c r="N492" s="19" t="s">
        <v>363</v>
      </c>
    </row>
    <row r="493" spans="2:14" x14ac:dyDescent="0.25">
      <c r="B493" t="s">
        <v>363</v>
      </c>
      <c r="K493" s="19" t="str">
        <f t="shared" si="23"/>
        <v/>
      </c>
      <c r="L493" s="19" t="str">
        <f t="shared" ca="1" si="21"/>
        <v/>
      </c>
      <c r="M493" s="19" t="str">
        <f t="shared" si="22"/>
        <v/>
      </c>
      <c r="N493" s="19" t="s">
        <v>363</v>
      </c>
    </row>
    <row r="494" spans="2:14" x14ac:dyDescent="0.25">
      <c r="B494" t="s">
        <v>363</v>
      </c>
      <c r="K494" s="19" t="str">
        <f t="shared" si="23"/>
        <v/>
      </c>
      <c r="L494" s="19" t="str">
        <f t="shared" ca="1" si="21"/>
        <v/>
      </c>
      <c r="M494" s="19" t="str">
        <f t="shared" si="22"/>
        <v/>
      </c>
      <c r="N494" s="19" t="s">
        <v>363</v>
      </c>
    </row>
    <row r="495" spans="2:14" x14ac:dyDescent="0.25">
      <c r="B495" t="s">
        <v>363</v>
      </c>
      <c r="K495" s="19" t="str">
        <f t="shared" si="23"/>
        <v/>
      </c>
      <c r="L495" s="19" t="str">
        <f t="shared" ca="1" si="21"/>
        <v/>
      </c>
      <c r="M495" s="19" t="str">
        <f t="shared" si="22"/>
        <v/>
      </c>
      <c r="N495" s="19" t="s">
        <v>363</v>
      </c>
    </row>
    <row r="496" spans="2:14" x14ac:dyDescent="0.25">
      <c r="B496" t="s">
        <v>363</v>
      </c>
      <c r="K496" s="19" t="str">
        <f t="shared" si="23"/>
        <v/>
      </c>
      <c r="L496" s="19" t="str">
        <f t="shared" ca="1" si="21"/>
        <v/>
      </c>
      <c r="M496" s="19" t="str">
        <f t="shared" si="22"/>
        <v/>
      </c>
      <c r="N496" s="19" t="s">
        <v>363</v>
      </c>
    </row>
    <row r="497" spans="2:14" x14ac:dyDescent="0.25">
      <c r="B497" t="s">
        <v>363</v>
      </c>
      <c r="K497" s="19" t="str">
        <f t="shared" si="23"/>
        <v/>
      </c>
      <c r="L497" s="19" t="str">
        <f t="shared" ca="1" si="21"/>
        <v/>
      </c>
      <c r="M497" s="19" t="str">
        <f t="shared" si="22"/>
        <v/>
      </c>
      <c r="N497" s="19" t="s">
        <v>363</v>
      </c>
    </row>
    <row r="498" spans="2:14" x14ac:dyDescent="0.25">
      <c r="B498" t="s">
        <v>363</v>
      </c>
      <c r="K498" s="19" t="str">
        <f t="shared" si="23"/>
        <v/>
      </c>
      <c r="L498" s="19" t="str">
        <f t="shared" ca="1" si="21"/>
        <v/>
      </c>
      <c r="M498" s="19" t="str">
        <f t="shared" si="22"/>
        <v/>
      </c>
      <c r="N498" s="19" t="s">
        <v>363</v>
      </c>
    </row>
    <row r="499" spans="2:14" x14ac:dyDescent="0.25">
      <c r="B499" t="s">
        <v>363</v>
      </c>
      <c r="K499" s="19" t="str">
        <f t="shared" si="23"/>
        <v/>
      </c>
      <c r="L499" s="19" t="str">
        <f t="shared" ca="1" si="21"/>
        <v/>
      </c>
      <c r="M499" s="19" t="str">
        <f t="shared" si="22"/>
        <v/>
      </c>
      <c r="N499" s="19" t="s">
        <v>363</v>
      </c>
    </row>
    <row r="500" spans="2:14" x14ac:dyDescent="0.25">
      <c r="B500" t="s">
        <v>363</v>
      </c>
      <c r="K500" s="19" t="str">
        <f t="shared" si="23"/>
        <v/>
      </c>
      <c r="L500" s="19" t="str">
        <f t="shared" ca="1" si="21"/>
        <v/>
      </c>
      <c r="M500" s="19" t="str">
        <f t="shared" si="22"/>
        <v/>
      </c>
      <c r="N500" s="19" t="s">
        <v>363</v>
      </c>
    </row>
    <row r="501" spans="2:14" x14ac:dyDescent="0.25">
      <c r="L501" s="19" t="str">
        <f t="shared" ca="1" si="21"/>
        <v/>
      </c>
      <c r="M501" s="19" t="str">
        <f t="shared" si="22"/>
        <v/>
      </c>
      <c r="N501" s="19" t="s">
        <v>363</v>
      </c>
    </row>
    <row r="502" spans="2:14" x14ac:dyDescent="0.25">
      <c r="L502" s="19" t="str">
        <f t="shared" ca="1" si="21"/>
        <v/>
      </c>
      <c r="M502" s="19" t="str">
        <f t="shared" si="22"/>
        <v/>
      </c>
      <c r="N502" s="19" t="s">
        <v>363</v>
      </c>
    </row>
    <row r="503" spans="2:14" x14ac:dyDescent="0.25">
      <c r="L503" s="19" t="str">
        <f t="shared" ca="1" si="21"/>
        <v/>
      </c>
      <c r="M503" s="19" t="str">
        <f t="shared" si="22"/>
        <v/>
      </c>
      <c r="N503" s="19" t="s">
        <v>363</v>
      </c>
    </row>
    <row r="504" spans="2:14" x14ac:dyDescent="0.25">
      <c r="L504" s="19" t="str">
        <f t="shared" ca="1" si="21"/>
        <v/>
      </c>
      <c r="M504" s="19" t="str">
        <f t="shared" si="22"/>
        <v/>
      </c>
      <c r="N504" s="19" t="s">
        <v>363</v>
      </c>
    </row>
    <row r="505" spans="2:14" x14ac:dyDescent="0.25">
      <c r="L505" s="19" t="str">
        <f t="shared" ca="1" si="21"/>
        <v/>
      </c>
      <c r="M505" s="19" t="str">
        <f t="shared" si="22"/>
        <v/>
      </c>
      <c r="N505" s="19" t="s">
        <v>363</v>
      </c>
    </row>
    <row r="506" spans="2:14" x14ac:dyDescent="0.25">
      <c r="L506" s="19" t="str">
        <f t="shared" ca="1" si="21"/>
        <v/>
      </c>
      <c r="M506" s="19" t="str">
        <f t="shared" si="22"/>
        <v/>
      </c>
      <c r="N506" s="19" t="s">
        <v>363</v>
      </c>
    </row>
    <row r="507" spans="2:14" x14ac:dyDescent="0.25">
      <c r="L507" s="19" t="str">
        <f t="shared" ca="1" si="21"/>
        <v/>
      </c>
      <c r="M507" s="19" t="str">
        <f t="shared" si="22"/>
        <v/>
      </c>
      <c r="N507" s="19" t="s">
        <v>363</v>
      </c>
    </row>
    <row r="508" spans="2:14" x14ac:dyDescent="0.25">
      <c r="L508" s="19" t="str">
        <f t="shared" ca="1" si="21"/>
        <v/>
      </c>
      <c r="M508" s="19" t="str">
        <f t="shared" si="22"/>
        <v/>
      </c>
      <c r="N508" s="19" t="s">
        <v>363</v>
      </c>
    </row>
    <row r="509" spans="2:14" x14ac:dyDescent="0.25">
      <c r="L509" s="19" t="str">
        <f t="shared" ca="1" si="21"/>
        <v/>
      </c>
      <c r="M509" s="19" t="str">
        <f t="shared" si="22"/>
        <v/>
      </c>
      <c r="N509" s="19" t="s">
        <v>363</v>
      </c>
    </row>
    <row r="510" spans="2:14" x14ac:dyDescent="0.25">
      <c r="L510" s="19" t="str">
        <f t="shared" ca="1" si="21"/>
        <v/>
      </c>
      <c r="M510" s="19" t="str">
        <f t="shared" si="22"/>
        <v/>
      </c>
      <c r="N510" s="19" t="s">
        <v>363</v>
      </c>
    </row>
    <row r="511" spans="2:14" x14ac:dyDescent="0.25">
      <c r="L511" s="19" t="str">
        <f t="shared" ca="1" si="21"/>
        <v/>
      </c>
      <c r="M511" s="19" t="str">
        <f t="shared" si="22"/>
        <v/>
      </c>
      <c r="N511" s="19" t="s">
        <v>363</v>
      </c>
    </row>
    <row r="512" spans="2:14" x14ac:dyDescent="0.25">
      <c r="L512" s="19" t="str">
        <f t="shared" ca="1" si="21"/>
        <v/>
      </c>
      <c r="M512" s="19" t="str">
        <f t="shared" si="22"/>
        <v/>
      </c>
      <c r="N512" s="19" t="s">
        <v>363</v>
      </c>
    </row>
    <row r="513" spans="12:14" x14ac:dyDescent="0.25">
      <c r="L513" s="19" t="str">
        <f t="shared" ca="1" si="21"/>
        <v/>
      </c>
      <c r="M513" s="19" t="str">
        <f t="shared" si="22"/>
        <v/>
      </c>
      <c r="N513" s="19" t="s">
        <v>363</v>
      </c>
    </row>
    <row r="514" spans="12:14" x14ac:dyDescent="0.25">
      <c r="L514" s="19" t="str">
        <f t="shared" ref="L514:L577" ca="1" si="24">IF(A514="","",RANDBETWEEN(1,10))</f>
        <v/>
      </c>
      <c r="M514" s="19" t="str">
        <f t="shared" ref="M514:M577" si="25">IF(A514="","",IF(L514&lt;8,"calibracion","validacion"))</f>
        <v/>
      </c>
      <c r="N514" s="19" t="s">
        <v>363</v>
      </c>
    </row>
    <row r="515" spans="12:14" x14ac:dyDescent="0.25">
      <c r="L515" s="19" t="str">
        <f t="shared" ca="1" si="24"/>
        <v/>
      </c>
      <c r="M515" s="19" t="str">
        <f t="shared" si="25"/>
        <v/>
      </c>
      <c r="N515" s="19" t="s">
        <v>363</v>
      </c>
    </row>
    <row r="516" spans="12:14" x14ac:dyDescent="0.25">
      <c r="L516" s="19" t="str">
        <f t="shared" ca="1" si="24"/>
        <v/>
      </c>
      <c r="M516" s="19" t="str">
        <f t="shared" si="25"/>
        <v/>
      </c>
      <c r="N516" s="19" t="s">
        <v>363</v>
      </c>
    </row>
    <row r="517" spans="12:14" x14ac:dyDescent="0.25">
      <c r="L517" s="19" t="str">
        <f t="shared" ca="1" si="24"/>
        <v/>
      </c>
      <c r="M517" s="19" t="str">
        <f t="shared" si="25"/>
        <v/>
      </c>
      <c r="N517" s="19" t="s">
        <v>363</v>
      </c>
    </row>
    <row r="518" spans="12:14" x14ac:dyDescent="0.25">
      <c r="L518" s="19" t="str">
        <f t="shared" ca="1" si="24"/>
        <v/>
      </c>
      <c r="M518" s="19" t="str">
        <f t="shared" si="25"/>
        <v/>
      </c>
      <c r="N518" s="19" t="s">
        <v>363</v>
      </c>
    </row>
    <row r="519" spans="12:14" x14ac:dyDescent="0.25">
      <c r="L519" s="19" t="str">
        <f t="shared" ca="1" si="24"/>
        <v/>
      </c>
      <c r="M519" s="19" t="str">
        <f t="shared" si="25"/>
        <v/>
      </c>
      <c r="N519" s="19" t="s">
        <v>363</v>
      </c>
    </row>
    <row r="520" spans="12:14" x14ac:dyDescent="0.25">
      <c r="L520" s="19" t="str">
        <f t="shared" ca="1" si="24"/>
        <v/>
      </c>
      <c r="M520" s="19" t="str">
        <f t="shared" si="25"/>
        <v/>
      </c>
      <c r="N520" s="19" t="s">
        <v>363</v>
      </c>
    </row>
    <row r="521" spans="12:14" x14ac:dyDescent="0.25">
      <c r="L521" s="19" t="str">
        <f t="shared" ca="1" si="24"/>
        <v/>
      </c>
      <c r="M521" s="19" t="str">
        <f t="shared" si="25"/>
        <v/>
      </c>
      <c r="N521" s="19" t="s">
        <v>363</v>
      </c>
    </row>
    <row r="522" spans="12:14" x14ac:dyDescent="0.25">
      <c r="L522" s="19" t="str">
        <f t="shared" ca="1" si="24"/>
        <v/>
      </c>
      <c r="M522" s="19" t="str">
        <f t="shared" si="25"/>
        <v/>
      </c>
      <c r="N522" s="19" t="s">
        <v>363</v>
      </c>
    </row>
    <row r="523" spans="12:14" x14ac:dyDescent="0.25">
      <c r="L523" s="19" t="str">
        <f t="shared" ca="1" si="24"/>
        <v/>
      </c>
      <c r="M523" s="19" t="str">
        <f t="shared" si="25"/>
        <v/>
      </c>
      <c r="N523" s="19" t="s">
        <v>363</v>
      </c>
    </row>
    <row r="524" spans="12:14" x14ac:dyDescent="0.25">
      <c r="L524" s="19" t="str">
        <f t="shared" ca="1" si="24"/>
        <v/>
      </c>
      <c r="M524" s="19" t="str">
        <f t="shared" si="25"/>
        <v/>
      </c>
      <c r="N524" s="19" t="s">
        <v>363</v>
      </c>
    </row>
    <row r="525" spans="12:14" x14ac:dyDescent="0.25">
      <c r="L525" s="19" t="str">
        <f t="shared" ca="1" si="24"/>
        <v/>
      </c>
      <c r="M525" s="19" t="str">
        <f t="shared" si="25"/>
        <v/>
      </c>
      <c r="N525" s="19" t="s">
        <v>363</v>
      </c>
    </row>
    <row r="526" spans="12:14" x14ac:dyDescent="0.25">
      <c r="L526" s="19" t="str">
        <f t="shared" ca="1" si="24"/>
        <v/>
      </c>
      <c r="M526" s="19" t="str">
        <f t="shared" si="25"/>
        <v/>
      </c>
      <c r="N526" s="19" t="s">
        <v>363</v>
      </c>
    </row>
    <row r="527" spans="12:14" x14ac:dyDescent="0.25">
      <c r="L527" s="19" t="str">
        <f t="shared" ca="1" si="24"/>
        <v/>
      </c>
      <c r="M527" s="19" t="str">
        <f t="shared" si="25"/>
        <v/>
      </c>
      <c r="N527" s="19" t="s">
        <v>363</v>
      </c>
    </row>
    <row r="528" spans="12:14" x14ac:dyDescent="0.25">
      <c r="L528" s="19" t="str">
        <f t="shared" ca="1" si="24"/>
        <v/>
      </c>
      <c r="M528" s="19" t="str">
        <f t="shared" si="25"/>
        <v/>
      </c>
      <c r="N528" s="19" t="s">
        <v>363</v>
      </c>
    </row>
    <row r="529" spans="12:14" x14ac:dyDescent="0.25">
      <c r="L529" s="19" t="str">
        <f t="shared" ca="1" si="24"/>
        <v/>
      </c>
      <c r="M529" s="19" t="str">
        <f t="shared" si="25"/>
        <v/>
      </c>
      <c r="N529" s="19" t="s">
        <v>363</v>
      </c>
    </row>
    <row r="530" spans="12:14" x14ac:dyDescent="0.25">
      <c r="L530" s="19" t="str">
        <f t="shared" ca="1" si="24"/>
        <v/>
      </c>
      <c r="M530" s="19" t="str">
        <f t="shared" si="25"/>
        <v/>
      </c>
      <c r="N530" s="19" t="s">
        <v>363</v>
      </c>
    </row>
    <row r="531" spans="12:14" x14ac:dyDescent="0.25">
      <c r="L531" s="19" t="str">
        <f t="shared" ca="1" si="24"/>
        <v/>
      </c>
      <c r="M531" s="19" t="str">
        <f t="shared" si="25"/>
        <v/>
      </c>
      <c r="N531" s="19" t="s">
        <v>363</v>
      </c>
    </row>
    <row r="532" spans="12:14" x14ac:dyDescent="0.25">
      <c r="L532" s="19" t="str">
        <f t="shared" ca="1" si="24"/>
        <v/>
      </c>
      <c r="M532" s="19" t="str">
        <f t="shared" si="25"/>
        <v/>
      </c>
      <c r="N532" s="19" t="s">
        <v>363</v>
      </c>
    </row>
    <row r="533" spans="12:14" x14ac:dyDescent="0.25">
      <c r="L533" s="19" t="str">
        <f t="shared" ca="1" si="24"/>
        <v/>
      </c>
      <c r="M533" s="19" t="str">
        <f t="shared" si="25"/>
        <v/>
      </c>
      <c r="N533" s="19" t="s">
        <v>363</v>
      </c>
    </row>
    <row r="534" spans="12:14" x14ac:dyDescent="0.25">
      <c r="L534" s="19" t="str">
        <f t="shared" ca="1" si="24"/>
        <v/>
      </c>
      <c r="M534" s="19" t="str">
        <f t="shared" si="25"/>
        <v/>
      </c>
      <c r="N534" s="19" t="s">
        <v>363</v>
      </c>
    </row>
    <row r="535" spans="12:14" x14ac:dyDescent="0.25">
      <c r="L535" s="19" t="str">
        <f t="shared" ca="1" si="24"/>
        <v/>
      </c>
      <c r="M535" s="19" t="str">
        <f t="shared" si="25"/>
        <v/>
      </c>
      <c r="N535" s="19" t="s">
        <v>363</v>
      </c>
    </row>
    <row r="536" spans="12:14" x14ac:dyDescent="0.25">
      <c r="L536" s="19" t="str">
        <f t="shared" ca="1" si="24"/>
        <v/>
      </c>
      <c r="M536" s="19" t="str">
        <f t="shared" si="25"/>
        <v/>
      </c>
      <c r="N536" s="19" t="s">
        <v>363</v>
      </c>
    </row>
    <row r="537" spans="12:14" x14ac:dyDescent="0.25">
      <c r="L537" s="19" t="str">
        <f t="shared" ca="1" si="24"/>
        <v/>
      </c>
      <c r="M537" s="19" t="str">
        <f t="shared" si="25"/>
        <v/>
      </c>
      <c r="N537" s="19" t="s">
        <v>363</v>
      </c>
    </row>
    <row r="538" spans="12:14" x14ac:dyDescent="0.25">
      <c r="L538" s="19" t="str">
        <f t="shared" ca="1" si="24"/>
        <v/>
      </c>
      <c r="M538" s="19" t="str">
        <f t="shared" si="25"/>
        <v/>
      </c>
      <c r="N538" s="19" t="s">
        <v>363</v>
      </c>
    </row>
    <row r="539" spans="12:14" x14ac:dyDescent="0.25">
      <c r="L539" s="19" t="str">
        <f t="shared" ca="1" si="24"/>
        <v/>
      </c>
      <c r="M539" s="19" t="str">
        <f t="shared" si="25"/>
        <v/>
      </c>
      <c r="N539" s="19" t="s">
        <v>363</v>
      </c>
    </row>
    <row r="540" spans="12:14" x14ac:dyDescent="0.25">
      <c r="L540" s="19" t="str">
        <f t="shared" ca="1" si="24"/>
        <v/>
      </c>
      <c r="M540" s="19" t="str">
        <f t="shared" si="25"/>
        <v/>
      </c>
      <c r="N540" s="19" t="s">
        <v>363</v>
      </c>
    </row>
    <row r="541" spans="12:14" x14ac:dyDescent="0.25">
      <c r="L541" s="19" t="str">
        <f t="shared" ca="1" si="24"/>
        <v/>
      </c>
      <c r="M541" s="19" t="str">
        <f t="shared" si="25"/>
        <v/>
      </c>
      <c r="N541" s="19" t="s">
        <v>363</v>
      </c>
    </row>
    <row r="542" spans="12:14" x14ac:dyDescent="0.25">
      <c r="L542" s="19" t="str">
        <f t="shared" ca="1" si="24"/>
        <v/>
      </c>
      <c r="M542" s="19" t="str">
        <f t="shared" si="25"/>
        <v/>
      </c>
      <c r="N542" s="19" t="s">
        <v>363</v>
      </c>
    </row>
    <row r="543" spans="12:14" x14ac:dyDescent="0.25">
      <c r="L543" s="19" t="str">
        <f t="shared" ca="1" si="24"/>
        <v/>
      </c>
      <c r="M543" s="19" t="str">
        <f t="shared" si="25"/>
        <v/>
      </c>
      <c r="N543" s="19" t="s">
        <v>363</v>
      </c>
    </row>
    <row r="544" spans="12:14" x14ac:dyDescent="0.25">
      <c r="L544" s="19" t="str">
        <f t="shared" ca="1" si="24"/>
        <v/>
      </c>
      <c r="M544" s="19" t="str">
        <f t="shared" si="25"/>
        <v/>
      </c>
      <c r="N544" s="19" t="s">
        <v>363</v>
      </c>
    </row>
    <row r="545" spans="12:14" x14ac:dyDescent="0.25">
      <c r="L545" s="19" t="str">
        <f t="shared" ca="1" si="24"/>
        <v/>
      </c>
      <c r="M545" s="19" t="str">
        <f t="shared" si="25"/>
        <v/>
      </c>
      <c r="N545" s="19" t="s">
        <v>363</v>
      </c>
    </row>
    <row r="546" spans="12:14" x14ac:dyDescent="0.25">
      <c r="L546" s="19" t="str">
        <f t="shared" ca="1" si="24"/>
        <v/>
      </c>
      <c r="M546" s="19" t="str">
        <f t="shared" si="25"/>
        <v/>
      </c>
      <c r="N546" s="19" t="s">
        <v>363</v>
      </c>
    </row>
    <row r="547" spans="12:14" x14ac:dyDescent="0.25">
      <c r="L547" s="19" t="str">
        <f t="shared" ca="1" si="24"/>
        <v/>
      </c>
      <c r="M547" s="19" t="str">
        <f t="shared" si="25"/>
        <v/>
      </c>
      <c r="N547" s="19" t="s">
        <v>363</v>
      </c>
    </row>
    <row r="548" spans="12:14" x14ac:dyDescent="0.25">
      <c r="L548" s="19" t="str">
        <f t="shared" ca="1" si="24"/>
        <v/>
      </c>
      <c r="M548" s="19" t="str">
        <f t="shared" si="25"/>
        <v/>
      </c>
      <c r="N548" s="19" t="s">
        <v>363</v>
      </c>
    </row>
    <row r="549" spans="12:14" x14ac:dyDescent="0.25">
      <c r="L549" s="19" t="str">
        <f t="shared" ca="1" si="24"/>
        <v/>
      </c>
      <c r="M549" s="19" t="str">
        <f t="shared" si="25"/>
        <v/>
      </c>
      <c r="N549" s="19" t="s">
        <v>363</v>
      </c>
    </row>
    <row r="550" spans="12:14" x14ac:dyDescent="0.25">
      <c r="L550" s="19" t="str">
        <f t="shared" ca="1" si="24"/>
        <v/>
      </c>
      <c r="M550" s="19" t="str">
        <f t="shared" si="25"/>
        <v/>
      </c>
      <c r="N550" s="19" t="s">
        <v>363</v>
      </c>
    </row>
    <row r="551" spans="12:14" x14ac:dyDescent="0.25">
      <c r="L551" s="19" t="str">
        <f t="shared" ca="1" si="24"/>
        <v/>
      </c>
      <c r="M551" s="19" t="str">
        <f t="shared" si="25"/>
        <v/>
      </c>
      <c r="N551" s="19" t="s">
        <v>363</v>
      </c>
    </row>
    <row r="552" spans="12:14" x14ac:dyDescent="0.25">
      <c r="L552" s="19" t="str">
        <f t="shared" ca="1" si="24"/>
        <v/>
      </c>
      <c r="M552" s="19" t="str">
        <f t="shared" si="25"/>
        <v/>
      </c>
      <c r="N552" s="19" t="s">
        <v>363</v>
      </c>
    </row>
    <row r="553" spans="12:14" x14ac:dyDescent="0.25">
      <c r="L553" s="19" t="str">
        <f t="shared" ca="1" si="24"/>
        <v/>
      </c>
      <c r="M553" s="19" t="str">
        <f t="shared" si="25"/>
        <v/>
      </c>
      <c r="N553" s="19" t="s">
        <v>363</v>
      </c>
    </row>
    <row r="554" spans="12:14" x14ac:dyDescent="0.25">
      <c r="L554" s="19" t="str">
        <f t="shared" ca="1" si="24"/>
        <v/>
      </c>
      <c r="M554" s="19" t="str">
        <f t="shared" si="25"/>
        <v/>
      </c>
      <c r="N554" s="19" t="s">
        <v>363</v>
      </c>
    </row>
    <row r="555" spans="12:14" x14ac:dyDescent="0.25">
      <c r="L555" s="19" t="str">
        <f t="shared" ca="1" si="24"/>
        <v/>
      </c>
      <c r="M555" s="19" t="str">
        <f t="shared" si="25"/>
        <v/>
      </c>
      <c r="N555" s="19" t="s">
        <v>363</v>
      </c>
    </row>
    <row r="556" spans="12:14" x14ac:dyDescent="0.25">
      <c r="L556" s="19" t="str">
        <f t="shared" ca="1" si="24"/>
        <v/>
      </c>
      <c r="M556" s="19" t="str">
        <f t="shared" si="25"/>
        <v/>
      </c>
      <c r="N556" s="19" t="s">
        <v>363</v>
      </c>
    </row>
    <row r="557" spans="12:14" x14ac:dyDescent="0.25">
      <c r="L557" s="19" t="str">
        <f t="shared" ca="1" si="24"/>
        <v/>
      </c>
      <c r="M557" s="19" t="str">
        <f t="shared" si="25"/>
        <v/>
      </c>
      <c r="N557" s="19" t="s">
        <v>363</v>
      </c>
    </row>
    <row r="558" spans="12:14" x14ac:dyDescent="0.25">
      <c r="L558" s="19" t="str">
        <f t="shared" ca="1" si="24"/>
        <v/>
      </c>
      <c r="M558" s="19" t="str">
        <f t="shared" si="25"/>
        <v/>
      </c>
      <c r="N558" s="19" t="s">
        <v>363</v>
      </c>
    </row>
    <row r="559" spans="12:14" x14ac:dyDescent="0.25">
      <c r="L559" s="19" t="str">
        <f t="shared" ca="1" si="24"/>
        <v/>
      </c>
      <c r="M559" s="19" t="str">
        <f t="shared" si="25"/>
        <v/>
      </c>
      <c r="N559" s="19" t="s">
        <v>363</v>
      </c>
    </row>
    <row r="560" spans="12:14" x14ac:dyDescent="0.25">
      <c r="L560" s="19" t="str">
        <f t="shared" ca="1" si="24"/>
        <v/>
      </c>
      <c r="M560" s="19" t="str">
        <f t="shared" si="25"/>
        <v/>
      </c>
      <c r="N560" s="19" t="s">
        <v>363</v>
      </c>
    </row>
    <row r="561" spans="12:14" x14ac:dyDescent="0.25">
      <c r="L561" s="19" t="str">
        <f t="shared" ca="1" si="24"/>
        <v/>
      </c>
      <c r="M561" s="19" t="str">
        <f t="shared" si="25"/>
        <v/>
      </c>
      <c r="N561" s="19" t="s">
        <v>363</v>
      </c>
    </row>
    <row r="562" spans="12:14" x14ac:dyDescent="0.25">
      <c r="L562" s="19" t="str">
        <f t="shared" ca="1" si="24"/>
        <v/>
      </c>
      <c r="M562" s="19" t="str">
        <f t="shared" si="25"/>
        <v/>
      </c>
      <c r="N562" s="19" t="s">
        <v>363</v>
      </c>
    </row>
    <row r="563" spans="12:14" x14ac:dyDescent="0.25">
      <c r="L563" s="19" t="str">
        <f t="shared" ca="1" si="24"/>
        <v/>
      </c>
      <c r="M563" s="19" t="str">
        <f t="shared" si="25"/>
        <v/>
      </c>
      <c r="N563" s="19" t="s">
        <v>363</v>
      </c>
    </row>
    <row r="564" spans="12:14" x14ac:dyDescent="0.25">
      <c r="L564" s="19" t="str">
        <f t="shared" ca="1" si="24"/>
        <v/>
      </c>
      <c r="M564" s="19" t="str">
        <f t="shared" si="25"/>
        <v/>
      </c>
      <c r="N564" s="19" t="s">
        <v>363</v>
      </c>
    </row>
    <row r="565" spans="12:14" x14ac:dyDescent="0.25">
      <c r="L565" s="19" t="str">
        <f t="shared" ca="1" si="24"/>
        <v/>
      </c>
      <c r="M565" s="19" t="str">
        <f t="shared" si="25"/>
        <v/>
      </c>
      <c r="N565" s="19" t="s">
        <v>363</v>
      </c>
    </row>
    <row r="566" spans="12:14" x14ac:dyDescent="0.25">
      <c r="L566" s="19" t="str">
        <f t="shared" ca="1" si="24"/>
        <v/>
      </c>
      <c r="M566" s="19" t="str">
        <f t="shared" si="25"/>
        <v/>
      </c>
      <c r="N566" s="19" t="s">
        <v>363</v>
      </c>
    </row>
    <row r="567" spans="12:14" x14ac:dyDescent="0.25">
      <c r="L567" s="19" t="str">
        <f t="shared" ca="1" si="24"/>
        <v/>
      </c>
      <c r="M567" s="19" t="str">
        <f t="shared" si="25"/>
        <v/>
      </c>
      <c r="N567" s="19" t="s">
        <v>363</v>
      </c>
    </row>
    <row r="568" spans="12:14" x14ac:dyDescent="0.25">
      <c r="L568" s="19" t="str">
        <f t="shared" ca="1" si="24"/>
        <v/>
      </c>
      <c r="M568" s="19" t="str">
        <f t="shared" si="25"/>
        <v/>
      </c>
      <c r="N568" s="19" t="s">
        <v>363</v>
      </c>
    </row>
    <row r="569" spans="12:14" x14ac:dyDescent="0.25">
      <c r="L569" s="19" t="str">
        <f t="shared" ca="1" si="24"/>
        <v/>
      </c>
      <c r="M569" s="19" t="str">
        <f t="shared" si="25"/>
        <v/>
      </c>
      <c r="N569" s="19" t="s">
        <v>363</v>
      </c>
    </row>
    <row r="570" spans="12:14" x14ac:dyDescent="0.25">
      <c r="L570" s="19" t="str">
        <f t="shared" ca="1" si="24"/>
        <v/>
      </c>
      <c r="M570" s="19" t="str">
        <f t="shared" si="25"/>
        <v/>
      </c>
      <c r="N570" s="19" t="s">
        <v>363</v>
      </c>
    </row>
    <row r="571" spans="12:14" x14ac:dyDescent="0.25">
      <c r="L571" s="19" t="str">
        <f t="shared" ca="1" si="24"/>
        <v/>
      </c>
      <c r="M571" s="19" t="str">
        <f t="shared" si="25"/>
        <v/>
      </c>
      <c r="N571" s="19" t="s">
        <v>363</v>
      </c>
    </row>
    <row r="572" spans="12:14" x14ac:dyDescent="0.25">
      <c r="L572" s="19" t="str">
        <f t="shared" ca="1" si="24"/>
        <v/>
      </c>
      <c r="M572" s="19" t="str">
        <f t="shared" si="25"/>
        <v/>
      </c>
      <c r="N572" s="19" t="s">
        <v>363</v>
      </c>
    </row>
    <row r="573" spans="12:14" x14ac:dyDescent="0.25">
      <c r="L573" s="19" t="str">
        <f t="shared" ca="1" si="24"/>
        <v/>
      </c>
      <c r="M573" s="19" t="str">
        <f t="shared" si="25"/>
        <v/>
      </c>
      <c r="N573" s="19" t="s">
        <v>363</v>
      </c>
    </row>
    <row r="574" spans="12:14" x14ac:dyDescent="0.25">
      <c r="L574" s="19" t="str">
        <f t="shared" ca="1" si="24"/>
        <v/>
      </c>
      <c r="M574" s="19" t="str">
        <f t="shared" si="25"/>
        <v/>
      </c>
      <c r="N574" s="19" t="s">
        <v>363</v>
      </c>
    </row>
    <row r="575" spans="12:14" x14ac:dyDescent="0.25">
      <c r="L575" s="19" t="str">
        <f t="shared" ca="1" si="24"/>
        <v/>
      </c>
      <c r="M575" s="19" t="str">
        <f t="shared" si="25"/>
        <v/>
      </c>
      <c r="N575" s="19" t="s">
        <v>363</v>
      </c>
    </row>
    <row r="576" spans="12:14" x14ac:dyDescent="0.25">
      <c r="L576" s="19" t="str">
        <f t="shared" ca="1" si="24"/>
        <v/>
      </c>
      <c r="M576" s="19" t="str">
        <f t="shared" si="25"/>
        <v/>
      </c>
      <c r="N576" s="19" t="s">
        <v>363</v>
      </c>
    </row>
    <row r="577" spans="12:14" x14ac:dyDescent="0.25">
      <c r="L577" s="19" t="str">
        <f t="shared" ca="1" si="24"/>
        <v/>
      </c>
      <c r="M577" s="19" t="str">
        <f t="shared" si="25"/>
        <v/>
      </c>
      <c r="N577" s="19" t="s">
        <v>363</v>
      </c>
    </row>
    <row r="578" spans="12:14" x14ac:dyDescent="0.25">
      <c r="L578" s="19" t="str">
        <f t="shared" ref="L578:L641" ca="1" si="26">IF(A578="","",RANDBETWEEN(1,10))</f>
        <v/>
      </c>
      <c r="M578" s="19" t="str">
        <f t="shared" ref="M578:M641" si="27">IF(A578="","",IF(L578&lt;8,"calibracion","validacion"))</f>
        <v/>
      </c>
      <c r="N578" s="19" t="s">
        <v>363</v>
      </c>
    </row>
    <row r="579" spans="12:14" x14ac:dyDescent="0.25">
      <c r="L579" s="19" t="str">
        <f t="shared" ca="1" si="26"/>
        <v/>
      </c>
      <c r="M579" s="19" t="str">
        <f t="shared" si="27"/>
        <v/>
      </c>
      <c r="N579" s="19" t="s">
        <v>363</v>
      </c>
    </row>
    <row r="580" spans="12:14" x14ac:dyDescent="0.25">
      <c r="L580" s="19" t="str">
        <f t="shared" ca="1" si="26"/>
        <v/>
      </c>
      <c r="M580" s="19" t="str">
        <f t="shared" si="27"/>
        <v/>
      </c>
      <c r="N580" s="19" t="s">
        <v>363</v>
      </c>
    </row>
    <row r="581" spans="12:14" x14ac:dyDescent="0.25">
      <c r="L581" s="19" t="str">
        <f t="shared" ca="1" si="26"/>
        <v/>
      </c>
      <c r="M581" s="19" t="str">
        <f t="shared" si="27"/>
        <v/>
      </c>
      <c r="N581" s="19" t="s">
        <v>363</v>
      </c>
    </row>
    <row r="582" spans="12:14" x14ac:dyDescent="0.25">
      <c r="L582" s="19" t="str">
        <f t="shared" ca="1" si="26"/>
        <v/>
      </c>
      <c r="M582" s="19" t="str">
        <f t="shared" si="27"/>
        <v/>
      </c>
      <c r="N582" s="19" t="s">
        <v>363</v>
      </c>
    </row>
    <row r="583" spans="12:14" x14ac:dyDescent="0.25">
      <c r="L583" s="19" t="str">
        <f t="shared" ca="1" si="26"/>
        <v/>
      </c>
      <c r="M583" s="19" t="str">
        <f t="shared" si="27"/>
        <v/>
      </c>
      <c r="N583" s="19" t="s">
        <v>363</v>
      </c>
    </row>
    <row r="584" spans="12:14" x14ac:dyDescent="0.25">
      <c r="L584" s="19" t="str">
        <f t="shared" ca="1" si="26"/>
        <v/>
      </c>
      <c r="M584" s="19" t="str">
        <f t="shared" si="27"/>
        <v/>
      </c>
      <c r="N584" s="19" t="s">
        <v>363</v>
      </c>
    </row>
    <row r="585" spans="12:14" x14ac:dyDescent="0.25">
      <c r="L585" s="19" t="str">
        <f t="shared" ca="1" si="26"/>
        <v/>
      </c>
      <c r="M585" s="19" t="str">
        <f t="shared" si="27"/>
        <v/>
      </c>
      <c r="N585" s="19" t="s">
        <v>363</v>
      </c>
    </row>
    <row r="586" spans="12:14" x14ac:dyDescent="0.25">
      <c r="L586" s="19" t="str">
        <f t="shared" ca="1" si="26"/>
        <v/>
      </c>
      <c r="M586" s="19" t="str">
        <f t="shared" si="27"/>
        <v/>
      </c>
      <c r="N586" s="19" t="s">
        <v>363</v>
      </c>
    </row>
    <row r="587" spans="12:14" x14ac:dyDescent="0.25">
      <c r="L587" s="19" t="str">
        <f t="shared" ca="1" si="26"/>
        <v/>
      </c>
      <c r="M587" s="19" t="str">
        <f t="shared" si="27"/>
        <v/>
      </c>
      <c r="N587" s="19" t="s">
        <v>363</v>
      </c>
    </row>
    <row r="588" spans="12:14" x14ac:dyDescent="0.25">
      <c r="L588" s="19" t="str">
        <f t="shared" ca="1" si="26"/>
        <v/>
      </c>
      <c r="M588" s="19" t="str">
        <f t="shared" si="27"/>
        <v/>
      </c>
      <c r="N588" s="19" t="s">
        <v>363</v>
      </c>
    </row>
    <row r="589" spans="12:14" x14ac:dyDescent="0.25">
      <c r="L589" s="19" t="str">
        <f t="shared" ca="1" si="26"/>
        <v/>
      </c>
      <c r="M589" s="19" t="str">
        <f t="shared" si="27"/>
        <v/>
      </c>
      <c r="N589" s="19" t="s">
        <v>363</v>
      </c>
    </row>
    <row r="590" spans="12:14" x14ac:dyDescent="0.25">
      <c r="L590" s="19" t="str">
        <f t="shared" ca="1" si="26"/>
        <v/>
      </c>
      <c r="M590" s="19" t="str">
        <f t="shared" si="27"/>
        <v/>
      </c>
      <c r="N590" s="19" t="s">
        <v>363</v>
      </c>
    </row>
    <row r="591" spans="12:14" x14ac:dyDescent="0.25">
      <c r="L591" s="19" t="str">
        <f t="shared" ca="1" si="26"/>
        <v/>
      </c>
      <c r="M591" s="19" t="str">
        <f t="shared" si="27"/>
        <v/>
      </c>
      <c r="N591" s="19" t="s">
        <v>363</v>
      </c>
    </row>
    <row r="592" spans="12:14" x14ac:dyDescent="0.25">
      <c r="L592" s="19" t="str">
        <f t="shared" ca="1" si="26"/>
        <v/>
      </c>
      <c r="M592" s="19" t="str">
        <f t="shared" si="27"/>
        <v/>
      </c>
      <c r="N592" s="19" t="s">
        <v>363</v>
      </c>
    </row>
    <row r="593" spans="12:14" x14ac:dyDescent="0.25">
      <c r="L593" s="19" t="str">
        <f t="shared" ca="1" si="26"/>
        <v/>
      </c>
      <c r="M593" s="19" t="str">
        <f t="shared" si="27"/>
        <v/>
      </c>
      <c r="N593" s="19" t="s">
        <v>363</v>
      </c>
    </row>
    <row r="594" spans="12:14" x14ac:dyDescent="0.25">
      <c r="L594" s="19" t="str">
        <f t="shared" ca="1" si="26"/>
        <v/>
      </c>
      <c r="M594" s="19" t="str">
        <f t="shared" si="27"/>
        <v/>
      </c>
      <c r="N594" s="19" t="s">
        <v>363</v>
      </c>
    </row>
    <row r="595" spans="12:14" x14ac:dyDescent="0.25">
      <c r="L595" s="19" t="str">
        <f t="shared" ca="1" si="26"/>
        <v/>
      </c>
      <c r="M595" s="19" t="str">
        <f t="shared" si="27"/>
        <v/>
      </c>
      <c r="N595" s="19" t="s">
        <v>363</v>
      </c>
    </row>
    <row r="596" spans="12:14" x14ac:dyDescent="0.25">
      <c r="L596" s="19" t="str">
        <f t="shared" ca="1" si="26"/>
        <v/>
      </c>
      <c r="M596" s="19" t="str">
        <f t="shared" si="27"/>
        <v/>
      </c>
      <c r="N596" s="19" t="s">
        <v>363</v>
      </c>
    </row>
    <row r="597" spans="12:14" x14ac:dyDescent="0.25">
      <c r="L597" s="19" t="str">
        <f t="shared" ca="1" si="26"/>
        <v/>
      </c>
      <c r="M597" s="19" t="str">
        <f t="shared" si="27"/>
        <v/>
      </c>
      <c r="N597" s="19" t="s">
        <v>363</v>
      </c>
    </row>
    <row r="598" spans="12:14" x14ac:dyDescent="0.25">
      <c r="L598" s="19" t="str">
        <f t="shared" ca="1" si="26"/>
        <v/>
      </c>
      <c r="M598" s="19" t="str">
        <f t="shared" si="27"/>
        <v/>
      </c>
      <c r="N598" s="19" t="s">
        <v>363</v>
      </c>
    </row>
    <row r="599" spans="12:14" x14ac:dyDescent="0.25">
      <c r="L599" s="19" t="str">
        <f t="shared" ca="1" si="26"/>
        <v/>
      </c>
      <c r="M599" s="19" t="str">
        <f t="shared" si="27"/>
        <v/>
      </c>
      <c r="N599" s="19" t="s">
        <v>363</v>
      </c>
    </row>
    <row r="600" spans="12:14" x14ac:dyDescent="0.25">
      <c r="L600" s="19" t="str">
        <f t="shared" ca="1" si="26"/>
        <v/>
      </c>
      <c r="M600" s="19" t="str">
        <f t="shared" si="27"/>
        <v/>
      </c>
      <c r="N600" s="19" t="s">
        <v>363</v>
      </c>
    </row>
    <row r="601" spans="12:14" x14ac:dyDescent="0.25">
      <c r="L601" s="19" t="str">
        <f t="shared" ca="1" si="26"/>
        <v/>
      </c>
      <c r="M601" s="19" t="str">
        <f t="shared" si="27"/>
        <v/>
      </c>
      <c r="N601" s="19" t="s">
        <v>363</v>
      </c>
    </row>
    <row r="602" spans="12:14" x14ac:dyDescent="0.25">
      <c r="L602" s="19" t="str">
        <f t="shared" ca="1" si="26"/>
        <v/>
      </c>
      <c r="M602" s="19" t="str">
        <f t="shared" si="27"/>
        <v/>
      </c>
      <c r="N602" s="19" t="s">
        <v>363</v>
      </c>
    </row>
    <row r="603" spans="12:14" x14ac:dyDescent="0.25">
      <c r="L603" s="19" t="str">
        <f t="shared" ca="1" si="26"/>
        <v/>
      </c>
      <c r="M603" s="19" t="str">
        <f t="shared" si="27"/>
        <v/>
      </c>
      <c r="N603" s="19" t="s">
        <v>363</v>
      </c>
    </row>
    <row r="604" spans="12:14" x14ac:dyDescent="0.25">
      <c r="L604" s="19" t="str">
        <f t="shared" ca="1" si="26"/>
        <v/>
      </c>
      <c r="M604" s="19" t="str">
        <f t="shared" si="27"/>
        <v/>
      </c>
      <c r="N604" s="19" t="s">
        <v>363</v>
      </c>
    </row>
    <row r="605" spans="12:14" x14ac:dyDescent="0.25">
      <c r="L605" s="19" t="str">
        <f t="shared" ca="1" si="26"/>
        <v/>
      </c>
      <c r="M605" s="19" t="str">
        <f t="shared" si="27"/>
        <v/>
      </c>
      <c r="N605" s="19" t="s">
        <v>363</v>
      </c>
    </row>
    <row r="606" spans="12:14" x14ac:dyDescent="0.25">
      <c r="L606" s="19" t="str">
        <f t="shared" ca="1" si="26"/>
        <v/>
      </c>
      <c r="M606" s="19" t="str">
        <f t="shared" si="27"/>
        <v/>
      </c>
      <c r="N606" s="19" t="s">
        <v>363</v>
      </c>
    </row>
    <row r="607" spans="12:14" x14ac:dyDescent="0.25">
      <c r="L607" s="19" t="str">
        <f t="shared" ca="1" si="26"/>
        <v/>
      </c>
      <c r="M607" s="19" t="str">
        <f t="shared" si="27"/>
        <v/>
      </c>
      <c r="N607" s="19" t="s">
        <v>363</v>
      </c>
    </row>
    <row r="608" spans="12:14" x14ac:dyDescent="0.25">
      <c r="L608" s="19" t="str">
        <f t="shared" ca="1" si="26"/>
        <v/>
      </c>
      <c r="M608" s="19" t="str">
        <f t="shared" si="27"/>
        <v/>
      </c>
      <c r="N608" s="19" t="s">
        <v>363</v>
      </c>
    </row>
    <row r="609" spans="12:14" x14ac:dyDescent="0.25">
      <c r="L609" s="19" t="str">
        <f t="shared" ca="1" si="26"/>
        <v/>
      </c>
      <c r="M609" s="19" t="str">
        <f t="shared" si="27"/>
        <v/>
      </c>
      <c r="N609" s="19" t="s">
        <v>363</v>
      </c>
    </row>
    <row r="610" spans="12:14" x14ac:dyDescent="0.25">
      <c r="L610" s="19" t="str">
        <f t="shared" ca="1" si="26"/>
        <v/>
      </c>
      <c r="M610" s="19" t="str">
        <f t="shared" si="27"/>
        <v/>
      </c>
      <c r="N610" s="19" t="s">
        <v>363</v>
      </c>
    </row>
    <row r="611" spans="12:14" x14ac:dyDescent="0.25">
      <c r="L611" s="19" t="str">
        <f t="shared" ca="1" si="26"/>
        <v/>
      </c>
      <c r="M611" s="19" t="str">
        <f t="shared" si="27"/>
        <v/>
      </c>
      <c r="N611" s="19" t="s">
        <v>363</v>
      </c>
    </row>
    <row r="612" spans="12:14" x14ac:dyDescent="0.25">
      <c r="L612" s="19" t="str">
        <f t="shared" ca="1" si="26"/>
        <v/>
      </c>
      <c r="M612" s="19" t="str">
        <f t="shared" si="27"/>
        <v/>
      </c>
      <c r="N612" s="19" t="s">
        <v>363</v>
      </c>
    </row>
    <row r="613" spans="12:14" x14ac:dyDescent="0.25">
      <c r="L613" s="19" t="str">
        <f t="shared" ca="1" si="26"/>
        <v/>
      </c>
      <c r="M613" s="19" t="str">
        <f t="shared" si="27"/>
        <v/>
      </c>
      <c r="N613" s="19" t="s">
        <v>363</v>
      </c>
    </row>
    <row r="614" spans="12:14" x14ac:dyDescent="0.25">
      <c r="L614" s="19" t="str">
        <f t="shared" ca="1" si="26"/>
        <v/>
      </c>
      <c r="M614" s="19" t="str">
        <f t="shared" si="27"/>
        <v/>
      </c>
      <c r="N614" s="19" t="s">
        <v>363</v>
      </c>
    </row>
    <row r="615" spans="12:14" x14ac:dyDescent="0.25">
      <c r="L615" s="19" t="str">
        <f t="shared" ca="1" si="26"/>
        <v/>
      </c>
      <c r="M615" s="19" t="str">
        <f t="shared" si="27"/>
        <v/>
      </c>
      <c r="N615" s="19" t="s">
        <v>363</v>
      </c>
    </row>
    <row r="616" spans="12:14" x14ac:dyDescent="0.25">
      <c r="L616" s="19" t="str">
        <f t="shared" ca="1" si="26"/>
        <v/>
      </c>
      <c r="M616" s="19" t="str">
        <f t="shared" si="27"/>
        <v/>
      </c>
      <c r="N616" s="19" t="s">
        <v>363</v>
      </c>
    </row>
    <row r="617" spans="12:14" x14ac:dyDescent="0.25">
      <c r="L617" s="19" t="str">
        <f t="shared" ca="1" si="26"/>
        <v/>
      </c>
      <c r="M617" s="19" t="str">
        <f t="shared" si="27"/>
        <v/>
      </c>
      <c r="N617" s="19" t="s">
        <v>363</v>
      </c>
    </row>
    <row r="618" spans="12:14" x14ac:dyDescent="0.25">
      <c r="L618" s="19" t="str">
        <f t="shared" ca="1" si="26"/>
        <v/>
      </c>
      <c r="M618" s="19" t="str">
        <f t="shared" si="27"/>
        <v/>
      </c>
      <c r="N618" s="19" t="s">
        <v>363</v>
      </c>
    </row>
    <row r="619" spans="12:14" x14ac:dyDescent="0.25">
      <c r="L619" s="19" t="str">
        <f t="shared" ca="1" si="26"/>
        <v/>
      </c>
      <c r="M619" s="19" t="str">
        <f t="shared" si="27"/>
        <v/>
      </c>
      <c r="N619" s="19" t="s">
        <v>363</v>
      </c>
    </row>
    <row r="620" spans="12:14" x14ac:dyDescent="0.25">
      <c r="L620" s="19" t="str">
        <f t="shared" ca="1" si="26"/>
        <v/>
      </c>
      <c r="M620" s="19" t="str">
        <f t="shared" si="27"/>
        <v/>
      </c>
      <c r="N620" s="19" t="s">
        <v>363</v>
      </c>
    </row>
    <row r="621" spans="12:14" x14ac:dyDescent="0.25">
      <c r="L621" s="19" t="str">
        <f t="shared" ca="1" si="26"/>
        <v/>
      </c>
      <c r="M621" s="19" t="str">
        <f t="shared" si="27"/>
        <v/>
      </c>
      <c r="N621" s="19" t="s">
        <v>363</v>
      </c>
    </row>
    <row r="622" spans="12:14" x14ac:dyDescent="0.25">
      <c r="L622" s="19" t="str">
        <f t="shared" ca="1" si="26"/>
        <v/>
      </c>
      <c r="M622" s="19" t="str">
        <f t="shared" si="27"/>
        <v/>
      </c>
      <c r="N622" s="19" t="s">
        <v>363</v>
      </c>
    </row>
    <row r="623" spans="12:14" x14ac:dyDescent="0.25">
      <c r="L623" s="19" t="str">
        <f t="shared" ca="1" si="26"/>
        <v/>
      </c>
      <c r="M623" s="19" t="str">
        <f t="shared" si="27"/>
        <v/>
      </c>
      <c r="N623" s="19" t="s">
        <v>363</v>
      </c>
    </row>
    <row r="624" spans="12:14" x14ac:dyDescent="0.25">
      <c r="L624" s="19" t="str">
        <f t="shared" ca="1" si="26"/>
        <v/>
      </c>
      <c r="M624" s="19" t="str">
        <f t="shared" si="27"/>
        <v/>
      </c>
      <c r="N624" s="19" t="s">
        <v>363</v>
      </c>
    </row>
    <row r="625" spans="12:14" x14ac:dyDescent="0.25">
      <c r="L625" s="19" t="str">
        <f t="shared" ca="1" si="26"/>
        <v/>
      </c>
      <c r="M625" s="19" t="str">
        <f t="shared" si="27"/>
        <v/>
      </c>
      <c r="N625" s="19" t="s">
        <v>363</v>
      </c>
    </row>
    <row r="626" spans="12:14" x14ac:dyDescent="0.25">
      <c r="L626" s="19" t="str">
        <f t="shared" ca="1" si="26"/>
        <v/>
      </c>
      <c r="M626" s="19" t="str">
        <f t="shared" si="27"/>
        <v/>
      </c>
      <c r="N626" s="19" t="s">
        <v>363</v>
      </c>
    </row>
    <row r="627" spans="12:14" x14ac:dyDescent="0.25">
      <c r="L627" s="19" t="str">
        <f t="shared" ca="1" si="26"/>
        <v/>
      </c>
      <c r="M627" s="19" t="str">
        <f t="shared" si="27"/>
        <v/>
      </c>
      <c r="N627" s="19" t="s">
        <v>363</v>
      </c>
    </row>
    <row r="628" spans="12:14" x14ac:dyDescent="0.25">
      <c r="L628" s="19" t="str">
        <f t="shared" ca="1" si="26"/>
        <v/>
      </c>
      <c r="M628" s="19" t="str">
        <f t="shared" si="27"/>
        <v/>
      </c>
      <c r="N628" s="19" t="s">
        <v>363</v>
      </c>
    </row>
    <row r="629" spans="12:14" x14ac:dyDescent="0.25">
      <c r="L629" s="19" t="str">
        <f t="shared" ca="1" si="26"/>
        <v/>
      </c>
      <c r="M629" s="19" t="str">
        <f t="shared" si="27"/>
        <v/>
      </c>
      <c r="N629" s="19" t="s">
        <v>363</v>
      </c>
    </row>
    <row r="630" spans="12:14" x14ac:dyDescent="0.25">
      <c r="L630" s="19" t="str">
        <f t="shared" ca="1" si="26"/>
        <v/>
      </c>
      <c r="M630" s="19" t="str">
        <f t="shared" si="27"/>
        <v/>
      </c>
      <c r="N630" s="19" t="s">
        <v>363</v>
      </c>
    </row>
    <row r="631" spans="12:14" x14ac:dyDescent="0.25">
      <c r="L631" s="19" t="str">
        <f t="shared" ca="1" si="26"/>
        <v/>
      </c>
      <c r="M631" s="19" t="str">
        <f t="shared" si="27"/>
        <v/>
      </c>
      <c r="N631" s="19" t="s">
        <v>363</v>
      </c>
    </row>
    <row r="632" spans="12:14" x14ac:dyDescent="0.25">
      <c r="L632" s="19" t="str">
        <f t="shared" ca="1" si="26"/>
        <v/>
      </c>
      <c r="M632" s="19" t="str">
        <f t="shared" si="27"/>
        <v/>
      </c>
      <c r="N632" s="19" t="s">
        <v>363</v>
      </c>
    </row>
    <row r="633" spans="12:14" x14ac:dyDescent="0.25">
      <c r="L633" s="19" t="str">
        <f t="shared" ca="1" si="26"/>
        <v/>
      </c>
      <c r="M633" s="19" t="str">
        <f t="shared" si="27"/>
        <v/>
      </c>
      <c r="N633" s="19" t="s">
        <v>363</v>
      </c>
    </row>
    <row r="634" spans="12:14" x14ac:dyDescent="0.25">
      <c r="L634" s="19" t="str">
        <f t="shared" ca="1" si="26"/>
        <v/>
      </c>
      <c r="M634" s="19" t="str">
        <f t="shared" si="27"/>
        <v/>
      </c>
      <c r="N634" s="19" t="s">
        <v>363</v>
      </c>
    </row>
    <row r="635" spans="12:14" x14ac:dyDescent="0.25">
      <c r="L635" s="19" t="str">
        <f t="shared" ca="1" si="26"/>
        <v/>
      </c>
      <c r="M635" s="19" t="str">
        <f t="shared" si="27"/>
        <v/>
      </c>
      <c r="N635" s="19" t="s">
        <v>363</v>
      </c>
    </row>
    <row r="636" spans="12:14" x14ac:dyDescent="0.25">
      <c r="L636" s="19" t="str">
        <f t="shared" ca="1" si="26"/>
        <v/>
      </c>
      <c r="M636" s="19" t="str">
        <f t="shared" si="27"/>
        <v/>
      </c>
      <c r="N636" s="19" t="s">
        <v>363</v>
      </c>
    </row>
    <row r="637" spans="12:14" x14ac:dyDescent="0.25">
      <c r="L637" s="19" t="str">
        <f t="shared" ca="1" si="26"/>
        <v/>
      </c>
      <c r="M637" s="19" t="str">
        <f t="shared" si="27"/>
        <v/>
      </c>
      <c r="N637" s="19" t="s">
        <v>363</v>
      </c>
    </row>
    <row r="638" spans="12:14" x14ac:dyDescent="0.25">
      <c r="L638" s="19" t="str">
        <f t="shared" ca="1" si="26"/>
        <v/>
      </c>
      <c r="M638" s="19" t="str">
        <f t="shared" si="27"/>
        <v/>
      </c>
      <c r="N638" s="19" t="s">
        <v>363</v>
      </c>
    </row>
    <row r="639" spans="12:14" x14ac:dyDescent="0.25">
      <c r="L639" s="19" t="str">
        <f t="shared" ca="1" si="26"/>
        <v/>
      </c>
      <c r="M639" s="19" t="str">
        <f t="shared" si="27"/>
        <v/>
      </c>
      <c r="N639" s="19" t="s">
        <v>363</v>
      </c>
    </row>
    <row r="640" spans="12:14" x14ac:dyDescent="0.25">
      <c r="L640" s="19" t="str">
        <f t="shared" ca="1" si="26"/>
        <v/>
      </c>
      <c r="M640" s="19" t="str">
        <f t="shared" si="27"/>
        <v/>
      </c>
      <c r="N640" s="19" t="s">
        <v>363</v>
      </c>
    </row>
    <row r="641" spans="12:14" x14ac:dyDescent="0.25">
      <c r="L641" s="19" t="str">
        <f t="shared" ca="1" si="26"/>
        <v/>
      </c>
      <c r="M641" s="19" t="str">
        <f t="shared" si="27"/>
        <v/>
      </c>
      <c r="N641" s="19" t="s">
        <v>363</v>
      </c>
    </row>
    <row r="642" spans="12:14" x14ac:dyDescent="0.25">
      <c r="L642" s="19" t="str">
        <f t="shared" ref="L642:L705" ca="1" si="28">IF(A642="","",RANDBETWEEN(1,10))</f>
        <v/>
      </c>
      <c r="M642" s="19" t="str">
        <f t="shared" ref="M642:M705" si="29">IF(A642="","",IF(L642&lt;8,"calibracion","validacion"))</f>
        <v/>
      </c>
      <c r="N642" s="19" t="s">
        <v>363</v>
      </c>
    </row>
    <row r="643" spans="12:14" x14ac:dyDescent="0.25">
      <c r="L643" s="19" t="str">
        <f t="shared" ca="1" si="28"/>
        <v/>
      </c>
      <c r="M643" s="19" t="str">
        <f t="shared" si="29"/>
        <v/>
      </c>
      <c r="N643" s="19" t="s">
        <v>363</v>
      </c>
    </row>
    <row r="644" spans="12:14" x14ac:dyDescent="0.25">
      <c r="L644" s="19" t="str">
        <f t="shared" ca="1" si="28"/>
        <v/>
      </c>
      <c r="M644" s="19" t="str">
        <f t="shared" si="29"/>
        <v/>
      </c>
      <c r="N644" s="19" t="s">
        <v>363</v>
      </c>
    </row>
    <row r="645" spans="12:14" x14ac:dyDescent="0.25">
      <c r="L645" s="19" t="str">
        <f t="shared" ca="1" si="28"/>
        <v/>
      </c>
      <c r="M645" s="19" t="str">
        <f t="shared" si="29"/>
        <v/>
      </c>
      <c r="N645" s="19" t="s">
        <v>363</v>
      </c>
    </row>
    <row r="646" spans="12:14" x14ac:dyDescent="0.25">
      <c r="L646" s="19" t="str">
        <f t="shared" ca="1" si="28"/>
        <v/>
      </c>
      <c r="M646" s="19" t="str">
        <f t="shared" si="29"/>
        <v/>
      </c>
      <c r="N646" s="19" t="s">
        <v>363</v>
      </c>
    </row>
    <row r="647" spans="12:14" x14ac:dyDescent="0.25">
      <c r="L647" s="19" t="str">
        <f t="shared" ca="1" si="28"/>
        <v/>
      </c>
      <c r="M647" s="19" t="str">
        <f t="shared" si="29"/>
        <v/>
      </c>
      <c r="N647" s="19" t="s">
        <v>363</v>
      </c>
    </row>
    <row r="648" spans="12:14" x14ac:dyDescent="0.25">
      <c r="L648" s="19" t="str">
        <f t="shared" ca="1" si="28"/>
        <v/>
      </c>
      <c r="M648" s="19" t="str">
        <f t="shared" si="29"/>
        <v/>
      </c>
      <c r="N648" s="19" t="s">
        <v>363</v>
      </c>
    </row>
    <row r="649" spans="12:14" x14ac:dyDescent="0.25">
      <c r="L649" s="19" t="str">
        <f t="shared" ca="1" si="28"/>
        <v/>
      </c>
      <c r="M649" s="19" t="str">
        <f t="shared" si="29"/>
        <v/>
      </c>
      <c r="N649" s="19" t="s">
        <v>363</v>
      </c>
    </row>
    <row r="650" spans="12:14" x14ac:dyDescent="0.25">
      <c r="L650" s="19" t="str">
        <f t="shared" ca="1" si="28"/>
        <v/>
      </c>
      <c r="M650" s="19" t="str">
        <f t="shared" si="29"/>
        <v/>
      </c>
      <c r="N650" s="19" t="s">
        <v>363</v>
      </c>
    </row>
    <row r="651" spans="12:14" x14ac:dyDescent="0.25">
      <c r="L651" s="19" t="str">
        <f t="shared" ca="1" si="28"/>
        <v/>
      </c>
      <c r="M651" s="19" t="str">
        <f t="shared" si="29"/>
        <v/>
      </c>
      <c r="N651" s="19" t="s">
        <v>363</v>
      </c>
    </row>
    <row r="652" spans="12:14" x14ac:dyDescent="0.25">
      <c r="L652" s="19" t="str">
        <f t="shared" ca="1" si="28"/>
        <v/>
      </c>
      <c r="M652" s="19" t="str">
        <f t="shared" si="29"/>
        <v/>
      </c>
      <c r="N652" s="19" t="s">
        <v>363</v>
      </c>
    </row>
    <row r="653" spans="12:14" x14ac:dyDescent="0.25">
      <c r="L653" s="19" t="str">
        <f t="shared" ca="1" si="28"/>
        <v/>
      </c>
      <c r="M653" s="19" t="str">
        <f t="shared" si="29"/>
        <v/>
      </c>
      <c r="N653" s="19" t="s">
        <v>363</v>
      </c>
    </row>
    <row r="654" spans="12:14" x14ac:dyDescent="0.25">
      <c r="L654" s="19" t="str">
        <f t="shared" ca="1" si="28"/>
        <v/>
      </c>
      <c r="M654" s="19" t="str">
        <f t="shared" si="29"/>
        <v/>
      </c>
      <c r="N654" s="19" t="s">
        <v>363</v>
      </c>
    </row>
    <row r="655" spans="12:14" x14ac:dyDescent="0.25">
      <c r="L655" s="19" t="str">
        <f t="shared" ca="1" si="28"/>
        <v/>
      </c>
      <c r="M655" s="19" t="str">
        <f t="shared" si="29"/>
        <v/>
      </c>
      <c r="N655" s="19" t="s">
        <v>363</v>
      </c>
    </row>
    <row r="656" spans="12:14" x14ac:dyDescent="0.25">
      <c r="L656" s="19" t="str">
        <f t="shared" ca="1" si="28"/>
        <v/>
      </c>
      <c r="M656" s="19" t="str">
        <f t="shared" si="29"/>
        <v/>
      </c>
      <c r="N656" s="19" t="s">
        <v>363</v>
      </c>
    </row>
    <row r="657" spans="12:14" x14ac:dyDescent="0.25">
      <c r="L657" s="19" t="str">
        <f t="shared" ca="1" si="28"/>
        <v/>
      </c>
      <c r="M657" s="19" t="str">
        <f t="shared" si="29"/>
        <v/>
      </c>
      <c r="N657" s="19" t="s">
        <v>363</v>
      </c>
    </row>
    <row r="658" spans="12:14" x14ac:dyDescent="0.25">
      <c r="L658" s="19" t="str">
        <f t="shared" ca="1" si="28"/>
        <v/>
      </c>
      <c r="M658" s="19" t="str">
        <f t="shared" si="29"/>
        <v/>
      </c>
      <c r="N658" s="19" t="s">
        <v>363</v>
      </c>
    </row>
    <row r="659" spans="12:14" x14ac:dyDescent="0.25">
      <c r="L659" s="19" t="str">
        <f t="shared" ca="1" si="28"/>
        <v/>
      </c>
      <c r="M659" s="19" t="str">
        <f t="shared" si="29"/>
        <v/>
      </c>
      <c r="N659" s="19" t="s">
        <v>363</v>
      </c>
    </row>
    <row r="660" spans="12:14" x14ac:dyDescent="0.25">
      <c r="L660" s="19" t="str">
        <f t="shared" ca="1" si="28"/>
        <v/>
      </c>
      <c r="M660" s="19" t="str">
        <f t="shared" si="29"/>
        <v/>
      </c>
      <c r="N660" s="19" t="s">
        <v>363</v>
      </c>
    </row>
    <row r="661" spans="12:14" x14ac:dyDescent="0.25">
      <c r="L661" s="19" t="str">
        <f t="shared" ca="1" si="28"/>
        <v/>
      </c>
      <c r="M661" s="19" t="str">
        <f t="shared" si="29"/>
        <v/>
      </c>
      <c r="N661" s="19" t="s">
        <v>363</v>
      </c>
    </row>
    <row r="662" spans="12:14" x14ac:dyDescent="0.25">
      <c r="L662" s="19" t="str">
        <f t="shared" ca="1" si="28"/>
        <v/>
      </c>
      <c r="M662" s="19" t="str">
        <f t="shared" si="29"/>
        <v/>
      </c>
      <c r="N662" s="19" t="s">
        <v>363</v>
      </c>
    </row>
    <row r="663" spans="12:14" x14ac:dyDescent="0.25">
      <c r="L663" s="19" t="str">
        <f t="shared" ca="1" si="28"/>
        <v/>
      </c>
      <c r="M663" s="19" t="str">
        <f t="shared" si="29"/>
        <v/>
      </c>
      <c r="N663" s="19" t="s">
        <v>363</v>
      </c>
    </row>
    <row r="664" spans="12:14" x14ac:dyDescent="0.25">
      <c r="L664" s="19" t="str">
        <f t="shared" ca="1" si="28"/>
        <v/>
      </c>
      <c r="M664" s="19" t="str">
        <f t="shared" si="29"/>
        <v/>
      </c>
      <c r="N664" s="19" t="s">
        <v>363</v>
      </c>
    </row>
    <row r="665" spans="12:14" x14ac:dyDescent="0.25">
      <c r="L665" s="19" t="str">
        <f t="shared" ca="1" si="28"/>
        <v/>
      </c>
      <c r="M665" s="19" t="str">
        <f t="shared" si="29"/>
        <v/>
      </c>
      <c r="N665" s="19" t="s">
        <v>363</v>
      </c>
    </row>
    <row r="666" spans="12:14" x14ac:dyDescent="0.25">
      <c r="L666" s="19" t="str">
        <f t="shared" ca="1" si="28"/>
        <v/>
      </c>
      <c r="M666" s="19" t="str">
        <f t="shared" si="29"/>
        <v/>
      </c>
      <c r="N666" s="19" t="s">
        <v>363</v>
      </c>
    </row>
    <row r="667" spans="12:14" x14ac:dyDescent="0.25">
      <c r="L667" s="19" t="str">
        <f t="shared" ca="1" si="28"/>
        <v/>
      </c>
      <c r="M667" s="19" t="str">
        <f t="shared" si="29"/>
        <v/>
      </c>
      <c r="N667" s="19" t="s">
        <v>363</v>
      </c>
    </row>
    <row r="668" spans="12:14" x14ac:dyDescent="0.25">
      <c r="L668" s="19" t="str">
        <f t="shared" ca="1" si="28"/>
        <v/>
      </c>
      <c r="M668" s="19" t="str">
        <f t="shared" si="29"/>
        <v/>
      </c>
      <c r="N668" s="19" t="s">
        <v>363</v>
      </c>
    </row>
    <row r="669" spans="12:14" x14ac:dyDescent="0.25">
      <c r="L669" s="19" t="str">
        <f t="shared" ca="1" si="28"/>
        <v/>
      </c>
      <c r="M669" s="19" t="str">
        <f t="shared" si="29"/>
        <v/>
      </c>
      <c r="N669" s="19" t="s">
        <v>363</v>
      </c>
    </row>
    <row r="670" spans="12:14" x14ac:dyDescent="0.25">
      <c r="L670" s="19" t="str">
        <f t="shared" ca="1" si="28"/>
        <v/>
      </c>
      <c r="M670" s="19" t="str">
        <f t="shared" si="29"/>
        <v/>
      </c>
      <c r="N670" s="19" t="s">
        <v>363</v>
      </c>
    </row>
    <row r="671" spans="12:14" x14ac:dyDescent="0.25">
      <c r="L671" s="19" t="str">
        <f t="shared" ca="1" si="28"/>
        <v/>
      </c>
      <c r="M671" s="19" t="str">
        <f t="shared" si="29"/>
        <v/>
      </c>
      <c r="N671" s="19" t="s">
        <v>363</v>
      </c>
    </row>
    <row r="672" spans="12:14" x14ac:dyDescent="0.25">
      <c r="L672" s="19" t="str">
        <f t="shared" ca="1" si="28"/>
        <v/>
      </c>
      <c r="M672" s="19" t="str">
        <f t="shared" si="29"/>
        <v/>
      </c>
      <c r="N672" s="19" t="s">
        <v>363</v>
      </c>
    </row>
    <row r="673" spans="12:14" x14ac:dyDescent="0.25">
      <c r="L673" s="19" t="str">
        <f t="shared" ca="1" si="28"/>
        <v/>
      </c>
      <c r="M673" s="19" t="str">
        <f t="shared" si="29"/>
        <v/>
      </c>
      <c r="N673" s="19" t="s">
        <v>363</v>
      </c>
    </row>
    <row r="674" spans="12:14" x14ac:dyDescent="0.25">
      <c r="L674" s="19" t="str">
        <f t="shared" ca="1" si="28"/>
        <v/>
      </c>
      <c r="M674" s="19" t="str">
        <f t="shared" si="29"/>
        <v/>
      </c>
      <c r="N674" s="19" t="s">
        <v>363</v>
      </c>
    </row>
    <row r="675" spans="12:14" x14ac:dyDescent="0.25">
      <c r="L675" s="19" t="str">
        <f t="shared" ca="1" si="28"/>
        <v/>
      </c>
      <c r="M675" s="19" t="str">
        <f t="shared" si="29"/>
        <v/>
      </c>
      <c r="N675" s="19" t="s">
        <v>363</v>
      </c>
    </row>
    <row r="676" spans="12:14" x14ac:dyDescent="0.25">
      <c r="L676" s="19" t="str">
        <f t="shared" ca="1" si="28"/>
        <v/>
      </c>
      <c r="M676" s="19" t="str">
        <f t="shared" si="29"/>
        <v/>
      </c>
      <c r="N676" s="19" t="s">
        <v>363</v>
      </c>
    </row>
    <row r="677" spans="12:14" x14ac:dyDescent="0.25">
      <c r="L677" s="19" t="str">
        <f t="shared" ca="1" si="28"/>
        <v/>
      </c>
      <c r="M677" s="19" t="str">
        <f t="shared" si="29"/>
        <v/>
      </c>
      <c r="N677" s="19" t="s">
        <v>363</v>
      </c>
    </row>
    <row r="678" spans="12:14" x14ac:dyDescent="0.25">
      <c r="L678" s="19" t="str">
        <f t="shared" ca="1" si="28"/>
        <v/>
      </c>
      <c r="M678" s="19" t="str">
        <f t="shared" si="29"/>
        <v/>
      </c>
      <c r="N678" s="19" t="s">
        <v>363</v>
      </c>
    </row>
    <row r="679" spans="12:14" x14ac:dyDescent="0.25">
      <c r="L679" s="19" t="str">
        <f t="shared" ca="1" si="28"/>
        <v/>
      </c>
      <c r="M679" s="19" t="str">
        <f t="shared" si="29"/>
        <v/>
      </c>
      <c r="N679" s="19" t="s">
        <v>363</v>
      </c>
    </row>
    <row r="680" spans="12:14" x14ac:dyDescent="0.25">
      <c r="L680" s="19" t="str">
        <f t="shared" ca="1" si="28"/>
        <v/>
      </c>
      <c r="M680" s="19" t="str">
        <f t="shared" si="29"/>
        <v/>
      </c>
      <c r="N680" s="19" t="s">
        <v>363</v>
      </c>
    </row>
    <row r="681" spans="12:14" x14ac:dyDescent="0.25">
      <c r="L681" s="19" t="str">
        <f t="shared" ca="1" si="28"/>
        <v/>
      </c>
      <c r="M681" s="19" t="str">
        <f t="shared" si="29"/>
        <v/>
      </c>
      <c r="N681" s="19" t="s">
        <v>363</v>
      </c>
    </row>
    <row r="682" spans="12:14" x14ac:dyDescent="0.25">
      <c r="L682" s="19" t="str">
        <f t="shared" ca="1" si="28"/>
        <v/>
      </c>
      <c r="M682" s="19" t="str">
        <f t="shared" si="29"/>
        <v/>
      </c>
      <c r="N682" s="19" t="s">
        <v>363</v>
      </c>
    </row>
    <row r="683" spans="12:14" x14ac:dyDescent="0.25">
      <c r="L683" s="19" t="str">
        <f t="shared" ca="1" si="28"/>
        <v/>
      </c>
      <c r="M683" s="19" t="str">
        <f t="shared" si="29"/>
        <v/>
      </c>
      <c r="N683" s="19" t="s">
        <v>363</v>
      </c>
    </row>
    <row r="684" spans="12:14" x14ac:dyDescent="0.25">
      <c r="L684" s="19" t="str">
        <f t="shared" ca="1" si="28"/>
        <v/>
      </c>
      <c r="M684" s="19" t="str">
        <f t="shared" si="29"/>
        <v/>
      </c>
      <c r="N684" s="19" t="s">
        <v>363</v>
      </c>
    </row>
    <row r="685" spans="12:14" x14ac:dyDescent="0.25">
      <c r="L685" s="19" t="str">
        <f t="shared" ca="1" si="28"/>
        <v/>
      </c>
      <c r="M685" s="19" t="str">
        <f t="shared" si="29"/>
        <v/>
      </c>
      <c r="N685" s="19" t="s">
        <v>363</v>
      </c>
    </row>
    <row r="686" spans="12:14" x14ac:dyDescent="0.25">
      <c r="L686" s="19" t="str">
        <f t="shared" ca="1" si="28"/>
        <v/>
      </c>
      <c r="M686" s="19" t="str">
        <f t="shared" si="29"/>
        <v/>
      </c>
      <c r="N686" s="19" t="s">
        <v>363</v>
      </c>
    </row>
    <row r="687" spans="12:14" x14ac:dyDescent="0.25">
      <c r="L687" s="19" t="str">
        <f t="shared" ca="1" si="28"/>
        <v/>
      </c>
      <c r="M687" s="19" t="str">
        <f t="shared" si="29"/>
        <v/>
      </c>
      <c r="N687" s="19" t="s">
        <v>363</v>
      </c>
    </row>
    <row r="688" spans="12:14" x14ac:dyDescent="0.25">
      <c r="L688" s="19" t="str">
        <f t="shared" ca="1" si="28"/>
        <v/>
      </c>
      <c r="M688" s="19" t="str">
        <f t="shared" si="29"/>
        <v/>
      </c>
      <c r="N688" s="19" t="s">
        <v>363</v>
      </c>
    </row>
    <row r="689" spans="12:14" x14ac:dyDescent="0.25">
      <c r="L689" s="19" t="str">
        <f t="shared" ca="1" si="28"/>
        <v/>
      </c>
      <c r="M689" s="19" t="str">
        <f t="shared" si="29"/>
        <v/>
      </c>
      <c r="N689" s="19" t="s">
        <v>363</v>
      </c>
    </row>
    <row r="690" spans="12:14" x14ac:dyDescent="0.25">
      <c r="L690" s="19" t="str">
        <f t="shared" ca="1" si="28"/>
        <v/>
      </c>
      <c r="M690" s="19" t="str">
        <f t="shared" si="29"/>
        <v/>
      </c>
      <c r="N690" s="19" t="s">
        <v>363</v>
      </c>
    </row>
    <row r="691" spans="12:14" x14ac:dyDescent="0.25">
      <c r="L691" s="19" t="str">
        <f t="shared" ca="1" si="28"/>
        <v/>
      </c>
      <c r="M691" s="19" t="str">
        <f t="shared" si="29"/>
        <v/>
      </c>
      <c r="N691" s="19" t="s">
        <v>363</v>
      </c>
    </row>
    <row r="692" spans="12:14" x14ac:dyDescent="0.25">
      <c r="L692" s="19" t="str">
        <f t="shared" ca="1" si="28"/>
        <v/>
      </c>
      <c r="M692" s="19" t="str">
        <f t="shared" si="29"/>
        <v/>
      </c>
      <c r="N692" s="19" t="s">
        <v>363</v>
      </c>
    </row>
    <row r="693" spans="12:14" x14ac:dyDescent="0.25">
      <c r="L693" s="19" t="str">
        <f t="shared" ca="1" si="28"/>
        <v/>
      </c>
      <c r="M693" s="19" t="str">
        <f t="shared" si="29"/>
        <v/>
      </c>
      <c r="N693" s="19" t="s">
        <v>363</v>
      </c>
    </row>
    <row r="694" spans="12:14" x14ac:dyDescent="0.25">
      <c r="L694" s="19" t="str">
        <f t="shared" ca="1" si="28"/>
        <v/>
      </c>
      <c r="M694" s="19" t="str">
        <f t="shared" si="29"/>
        <v/>
      </c>
      <c r="N694" s="19" t="s">
        <v>363</v>
      </c>
    </row>
    <row r="695" spans="12:14" x14ac:dyDescent="0.25">
      <c r="L695" s="19" t="str">
        <f t="shared" ca="1" si="28"/>
        <v/>
      </c>
      <c r="M695" s="19" t="str">
        <f t="shared" si="29"/>
        <v/>
      </c>
      <c r="N695" s="19" t="s">
        <v>363</v>
      </c>
    </row>
    <row r="696" spans="12:14" x14ac:dyDescent="0.25">
      <c r="L696" s="19" t="str">
        <f t="shared" ca="1" si="28"/>
        <v/>
      </c>
      <c r="M696" s="19" t="str">
        <f t="shared" si="29"/>
        <v/>
      </c>
      <c r="N696" s="19" t="s">
        <v>363</v>
      </c>
    </row>
    <row r="697" spans="12:14" x14ac:dyDescent="0.25">
      <c r="L697" s="19" t="str">
        <f t="shared" ca="1" si="28"/>
        <v/>
      </c>
      <c r="M697" s="19" t="str">
        <f t="shared" si="29"/>
        <v/>
      </c>
      <c r="N697" s="19" t="s">
        <v>363</v>
      </c>
    </row>
    <row r="698" spans="12:14" x14ac:dyDescent="0.25">
      <c r="L698" s="19" t="str">
        <f t="shared" ca="1" si="28"/>
        <v/>
      </c>
      <c r="M698" s="19" t="str">
        <f t="shared" si="29"/>
        <v/>
      </c>
      <c r="N698" s="19" t="s">
        <v>363</v>
      </c>
    </row>
    <row r="699" spans="12:14" x14ac:dyDescent="0.25">
      <c r="L699" s="19" t="str">
        <f t="shared" ca="1" si="28"/>
        <v/>
      </c>
      <c r="M699" s="19" t="str">
        <f t="shared" si="29"/>
        <v/>
      </c>
      <c r="N699" s="19" t="s">
        <v>363</v>
      </c>
    </row>
    <row r="700" spans="12:14" x14ac:dyDescent="0.25">
      <c r="L700" s="19" t="str">
        <f t="shared" ca="1" si="28"/>
        <v/>
      </c>
      <c r="M700" s="19" t="str">
        <f t="shared" si="29"/>
        <v/>
      </c>
      <c r="N700" s="19" t="s">
        <v>363</v>
      </c>
    </row>
    <row r="701" spans="12:14" x14ac:dyDescent="0.25">
      <c r="L701" s="19" t="str">
        <f t="shared" ca="1" si="28"/>
        <v/>
      </c>
      <c r="M701" s="19" t="str">
        <f t="shared" si="29"/>
        <v/>
      </c>
      <c r="N701" s="19" t="s">
        <v>363</v>
      </c>
    </row>
    <row r="702" spans="12:14" x14ac:dyDescent="0.25">
      <c r="L702" s="19" t="str">
        <f t="shared" ca="1" si="28"/>
        <v/>
      </c>
      <c r="M702" s="19" t="str">
        <f t="shared" si="29"/>
        <v/>
      </c>
      <c r="N702" s="19" t="s">
        <v>363</v>
      </c>
    </row>
    <row r="703" spans="12:14" x14ac:dyDescent="0.25">
      <c r="L703" s="19" t="str">
        <f t="shared" ca="1" si="28"/>
        <v/>
      </c>
      <c r="M703" s="19" t="str">
        <f t="shared" si="29"/>
        <v/>
      </c>
      <c r="N703" s="19" t="s">
        <v>363</v>
      </c>
    </row>
    <row r="704" spans="12:14" x14ac:dyDescent="0.25">
      <c r="L704" s="19" t="str">
        <f t="shared" ca="1" si="28"/>
        <v/>
      </c>
      <c r="M704" s="19" t="str">
        <f t="shared" si="29"/>
        <v/>
      </c>
      <c r="N704" s="19" t="s">
        <v>363</v>
      </c>
    </row>
    <row r="705" spans="12:14" x14ac:dyDescent="0.25">
      <c r="L705" s="19" t="str">
        <f t="shared" ca="1" si="28"/>
        <v/>
      </c>
      <c r="M705" s="19" t="str">
        <f t="shared" si="29"/>
        <v/>
      </c>
      <c r="N705" s="19" t="s">
        <v>363</v>
      </c>
    </row>
    <row r="706" spans="12:14" x14ac:dyDescent="0.25">
      <c r="L706" s="19" t="str">
        <f t="shared" ref="L706:L769" ca="1" si="30">IF(A706="","",RANDBETWEEN(1,10))</f>
        <v/>
      </c>
      <c r="M706" s="19" t="str">
        <f t="shared" ref="M706:M769" si="31">IF(A706="","",IF(L706&lt;8,"calibracion","validacion"))</f>
        <v/>
      </c>
      <c r="N706" s="19" t="s">
        <v>363</v>
      </c>
    </row>
    <row r="707" spans="12:14" x14ac:dyDescent="0.25">
      <c r="L707" s="19" t="str">
        <f t="shared" ca="1" si="30"/>
        <v/>
      </c>
      <c r="M707" s="19" t="str">
        <f t="shared" si="31"/>
        <v/>
      </c>
      <c r="N707" s="19" t="s">
        <v>363</v>
      </c>
    </row>
    <row r="708" spans="12:14" x14ac:dyDescent="0.25">
      <c r="L708" s="19" t="str">
        <f t="shared" ca="1" si="30"/>
        <v/>
      </c>
      <c r="M708" s="19" t="str">
        <f t="shared" si="31"/>
        <v/>
      </c>
      <c r="N708" s="19" t="s">
        <v>363</v>
      </c>
    </row>
    <row r="709" spans="12:14" x14ac:dyDescent="0.25">
      <c r="L709" s="19" t="str">
        <f t="shared" ca="1" si="30"/>
        <v/>
      </c>
      <c r="M709" s="19" t="str">
        <f t="shared" si="31"/>
        <v/>
      </c>
      <c r="N709" s="19" t="s">
        <v>363</v>
      </c>
    </row>
    <row r="710" spans="12:14" x14ac:dyDescent="0.25">
      <c r="L710" s="19" t="str">
        <f t="shared" ca="1" si="30"/>
        <v/>
      </c>
      <c r="M710" s="19" t="str">
        <f t="shared" si="31"/>
        <v/>
      </c>
      <c r="N710" s="19" t="s">
        <v>363</v>
      </c>
    </row>
    <row r="711" spans="12:14" x14ac:dyDescent="0.25">
      <c r="L711" s="19" t="str">
        <f t="shared" ca="1" si="30"/>
        <v/>
      </c>
      <c r="M711" s="19" t="str">
        <f t="shared" si="31"/>
        <v/>
      </c>
      <c r="N711" s="19" t="s">
        <v>363</v>
      </c>
    </row>
    <row r="712" spans="12:14" x14ac:dyDescent="0.25">
      <c r="L712" s="19" t="str">
        <f t="shared" ca="1" si="30"/>
        <v/>
      </c>
      <c r="M712" s="19" t="str">
        <f t="shared" si="31"/>
        <v/>
      </c>
      <c r="N712" s="19" t="s">
        <v>363</v>
      </c>
    </row>
    <row r="713" spans="12:14" x14ac:dyDescent="0.25">
      <c r="L713" s="19" t="str">
        <f t="shared" ca="1" si="30"/>
        <v/>
      </c>
      <c r="M713" s="19" t="str">
        <f t="shared" si="31"/>
        <v/>
      </c>
      <c r="N713" s="19" t="s">
        <v>363</v>
      </c>
    </row>
    <row r="714" spans="12:14" x14ac:dyDescent="0.25">
      <c r="L714" s="19" t="str">
        <f t="shared" ca="1" si="30"/>
        <v/>
      </c>
      <c r="M714" s="19" t="str">
        <f t="shared" si="31"/>
        <v/>
      </c>
      <c r="N714" s="19" t="s">
        <v>363</v>
      </c>
    </row>
    <row r="715" spans="12:14" x14ac:dyDescent="0.25">
      <c r="L715" s="19" t="str">
        <f t="shared" ca="1" si="30"/>
        <v/>
      </c>
      <c r="M715" s="19" t="str">
        <f t="shared" si="31"/>
        <v/>
      </c>
      <c r="N715" s="19" t="s">
        <v>363</v>
      </c>
    </row>
    <row r="716" spans="12:14" x14ac:dyDescent="0.25">
      <c r="L716" s="19" t="str">
        <f t="shared" ca="1" si="30"/>
        <v/>
      </c>
      <c r="M716" s="19" t="str">
        <f t="shared" si="31"/>
        <v/>
      </c>
      <c r="N716" s="19" t="s">
        <v>363</v>
      </c>
    </row>
    <row r="717" spans="12:14" x14ac:dyDescent="0.25">
      <c r="L717" s="19" t="str">
        <f t="shared" ca="1" si="30"/>
        <v/>
      </c>
      <c r="M717" s="19" t="str">
        <f t="shared" si="31"/>
        <v/>
      </c>
      <c r="N717" s="19" t="s">
        <v>363</v>
      </c>
    </row>
    <row r="718" spans="12:14" x14ac:dyDescent="0.25">
      <c r="L718" s="19" t="str">
        <f t="shared" ca="1" si="30"/>
        <v/>
      </c>
      <c r="M718" s="19" t="str">
        <f t="shared" si="31"/>
        <v/>
      </c>
      <c r="N718" s="19" t="s">
        <v>363</v>
      </c>
    </row>
    <row r="719" spans="12:14" x14ac:dyDescent="0.25">
      <c r="L719" s="19" t="str">
        <f t="shared" ca="1" si="30"/>
        <v/>
      </c>
      <c r="M719" s="19" t="str">
        <f t="shared" si="31"/>
        <v/>
      </c>
      <c r="N719" s="19" t="s">
        <v>363</v>
      </c>
    </row>
    <row r="720" spans="12:14" x14ac:dyDescent="0.25">
      <c r="L720" s="19" t="str">
        <f t="shared" ca="1" si="30"/>
        <v/>
      </c>
      <c r="M720" s="19" t="str">
        <f t="shared" si="31"/>
        <v/>
      </c>
      <c r="N720" s="19" t="s">
        <v>363</v>
      </c>
    </row>
    <row r="721" spans="12:14" x14ac:dyDescent="0.25">
      <c r="L721" s="19" t="str">
        <f t="shared" ca="1" si="30"/>
        <v/>
      </c>
      <c r="M721" s="19" t="str">
        <f t="shared" si="31"/>
        <v/>
      </c>
      <c r="N721" s="19" t="s">
        <v>363</v>
      </c>
    </row>
    <row r="722" spans="12:14" x14ac:dyDescent="0.25">
      <c r="L722" s="19" t="str">
        <f t="shared" ca="1" si="30"/>
        <v/>
      </c>
      <c r="M722" s="19" t="str">
        <f t="shared" si="31"/>
        <v/>
      </c>
      <c r="N722" s="19" t="s">
        <v>363</v>
      </c>
    </row>
    <row r="723" spans="12:14" x14ac:dyDescent="0.25">
      <c r="L723" s="19" t="str">
        <f t="shared" ca="1" si="30"/>
        <v/>
      </c>
      <c r="M723" s="19" t="str">
        <f t="shared" si="31"/>
        <v/>
      </c>
      <c r="N723" s="19" t="s">
        <v>363</v>
      </c>
    </row>
    <row r="724" spans="12:14" x14ac:dyDescent="0.25">
      <c r="L724" s="19" t="str">
        <f t="shared" ca="1" si="30"/>
        <v/>
      </c>
      <c r="M724" s="19" t="str">
        <f t="shared" si="31"/>
        <v/>
      </c>
      <c r="N724" s="19" t="s">
        <v>363</v>
      </c>
    </row>
    <row r="725" spans="12:14" x14ac:dyDescent="0.25">
      <c r="L725" s="19" t="str">
        <f t="shared" ca="1" si="30"/>
        <v/>
      </c>
      <c r="M725" s="19" t="str">
        <f t="shared" si="31"/>
        <v/>
      </c>
      <c r="N725" s="19" t="s">
        <v>363</v>
      </c>
    </row>
    <row r="726" spans="12:14" x14ac:dyDescent="0.25">
      <c r="L726" s="19" t="str">
        <f t="shared" ca="1" si="30"/>
        <v/>
      </c>
      <c r="M726" s="19" t="str">
        <f t="shared" si="31"/>
        <v/>
      </c>
      <c r="N726" s="19" t="s">
        <v>363</v>
      </c>
    </row>
    <row r="727" spans="12:14" x14ac:dyDescent="0.25">
      <c r="L727" s="19" t="str">
        <f t="shared" ca="1" si="30"/>
        <v/>
      </c>
      <c r="M727" s="19" t="str">
        <f t="shared" si="31"/>
        <v/>
      </c>
      <c r="N727" s="19" t="s">
        <v>363</v>
      </c>
    </row>
    <row r="728" spans="12:14" x14ac:dyDescent="0.25">
      <c r="L728" s="19" t="str">
        <f t="shared" ca="1" si="30"/>
        <v/>
      </c>
      <c r="M728" s="19" t="str">
        <f t="shared" si="31"/>
        <v/>
      </c>
      <c r="N728" s="19" t="s">
        <v>363</v>
      </c>
    </row>
    <row r="729" spans="12:14" x14ac:dyDescent="0.25">
      <c r="L729" s="19" t="str">
        <f t="shared" ca="1" si="30"/>
        <v/>
      </c>
      <c r="M729" s="19" t="str">
        <f t="shared" si="31"/>
        <v/>
      </c>
      <c r="N729" s="19" t="s">
        <v>363</v>
      </c>
    </row>
    <row r="730" spans="12:14" x14ac:dyDescent="0.25">
      <c r="L730" s="19" t="str">
        <f t="shared" ca="1" si="30"/>
        <v/>
      </c>
      <c r="M730" s="19" t="str">
        <f t="shared" si="31"/>
        <v/>
      </c>
      <c r="N730" s="19" t="s">
        <v>363</v>
      </c>
    </row>
    <row r="731" spans="12:14" x14ac:dyDescent="0.25">
      <c r="L731" s="19" t="str">
        <f t="shared" ca="1" si="30"/>
        <v/>
      </c>
      <c r="M731" s="19" t="str">
        <f t="shared" si="31"/>
        <v/>
      </c>
      <c r="N731" s="19" t="s">
        <v>363</v>
      </c>
    </row>
    <row r="732" spans="12:14" x14ac:dyDescent="0.25">
      <c r="L732" s="19" t="str">
        <f t="shared" ca="1" si="30"/>
        <v/>
      </c>
      <c r="M732" s="19" t="str">
        <f t="shared" si="31"/>
        <v/>
      </c>
      <c r="N732" s="19" t="s">
        <v>363</v>
      </c>
    </row>
    <row r="733" spans="12:14" x14ac:dyDescent="0.25">
      <c r="L733" s="19" t="str">
        <f t="shared" ca="1" si="30"/>
        <v/>
      </c>
      <c r="M733" s="19" t="str">
        <f t="shared" si="31"/>
        <v/>
      </c>
      <c r="N733" s="19" t="s">
        <v>363</v>
      </c>
    </row>
    <row r="734" spans="12:14" x14ac:dyDescent="0.25">
      <c r="L734" s="19" t="str">
        <f t="shared" ca="1" si="30"/>
        <v/>
      </c>
      <c r="M734" s="19" t="str">
        <f t="shared" si="31"/>
        <v/>
      </c>
      <c r="N734" s="19" t="s">
        <v>363</v>
      </c>
    </row>
    <row r="735" spans="12:14" x14ac:dyDescent="0.25">
      <c r="L735" s="19" t="str">
        <f t="shared" ca="1" si="30"/>
        <v/>
      </c>
      <c r="M735" s="19" t="str">
        <f t="shared" si="31"/>
        <v/>
      </c>
      <c r="N735" s="19" t="s">
        <v>363</v>
      </c>
    </row>
    <row r="736" spans="12:14" x14ac:dyDescent="0.25">
      <c r="L736" s="19" t="str">
        <f t="shared" ca="1" si="30"/>
        <v/>
      </c>
      <c r="M736" s="19" t="str">
        <f t="shared" si="31"/>
        <v/>
      </c>
      <c r="N736" s="19" t="s">
        <v>363</v>
      </c>
    </row>
    <row r="737" spans="12:14" x14ac:dyDescent="0.25">
      <c r="L737" s="19" t="str">
        <f t="shared" ca="1" si="30"/>
        <v/>
      </c>
      <c r="M737" s="19" t="str">
        <f t="shared" si="31"/>
        <v/>
      </c>
      <c r="N737" s="19" t="s">
        <v>363</v>
      </c>
    </row>
    <row r="738" spans="12:14" x14ac:dyDescent="0.25">
      <c r="L738" s="19" t="str">
        <f t="shared" ca="1" si="30"/>
        <v/>
      </c>
      <c r="M738" s="19" t="str">
        <f t="shared" si="31"/>
        <v/>
      </c>
      <c r="N738" s="19" t="s">
        <v>363</v>
      </c>
    </row>
    <row r="739" spans="12:14" x14ac:dyDescent="0.25">
      <c r="L739" s="19" t="str">
        <f t="shared" ca="1" si="30"/>
        <v/>
      </c>
      <c r="M739" s="19" t="str">
        <f t="shared" si="31"/>
        <v/>
      </c>
      <c r="N739" s="19" t="s">
        <v>363</v>
      </c>
    </row>
    <row r="740" spans="12:14" x14ac:dyDescent="0.25">
      <c r="L740" s="19" t="str">
        <f t="shared" ca="1" si="30"/>
        <v/>
      </c>
      <c r="M740" s="19" t="str">
        <f t="shared" si="31"/>
        <v/>
      </c>
      <c r="N740" s="19" t="s">
        <v>363</v>
      </c>
    </row>
    <row r="741" spans="12:14" x14ac:dyDescent="0.25">
      <c r="L741" s="19" t="str">
        <f t="shared" ca="1" si="30"/>
        <v/>
      </c>
      <c r="M741" s="19" t="str">
        <f t="shared" si="31"/>
        <v/>
      </c>
      <c r="N741" s="19" t="s">
        <v>363</v>
      </c>
    </row>
    <row r="742" spans="12:14" x14ac:dyDescent="0.25">
      <c r="L742" s="19" t="str">
        <f t="shared" ca="1" si="30"/>
        <v/>
      </c>
      <c r="M742" s="19" t="str">
        <f t="shared" si="31"/>
        <v/>
      </c>
      <c r="N742" s="19" t="s">
        <v>363</v>
      </c>
    </row>
    <row r="743" spans="12:14" x14ac:dyDescent="0.25">
      <c r="L743" s="19" t="str">
        <f t="shared" ca="1" si="30"/>
        <v/>
      </c>
      <c r="M743" s="19" t="str">
        <f t="shared" si="31"/>
        <v/>
      </c>
      <c r="N743" s="19" t="s">
        <v>363</v>
      </c>
    </row>
    <row r="744" spans="12:14" x14ac:dyDescent="0.25">
      <c r="L744" s="19" t="str">
        <f t="shared" ca="1" si="30"/>
        <v/>
      </c>
      <c r="M744" s="19" t="str">
        <f t="shared" si="31"/>
        <v/>
      </c>
      <c r="N744" s="19" t="s">
        <v>363</v>
      </c>
    </row>
    <row r="745" spans="12:14" x14ac:dyDescent="0.25">
      <c r="L745" s="19" t="str">
        <f t="shared" ca="1" si="30"/>
        <v/>
      </c>
      <c r="M745" s="19" t="str">
        <f t="shared" si="31"/>
        <v/>
      </c>
      <c r="N745" s="19" t="s">
        <v>363</v>
      </c>
    </row>
    <row r="746" spans="12:14" x14ac:dyDescent="0.25">
      <c r="L746" s="19" t="str">
        <f t="shared" ca="1" si="30"/>
        <v/>
      </c>
      <c r="M746" s="19" t="str">
        <f t="shared" si="31"/>
        <v/>
      </c>
      <c r="N746" s="19" t="s">
        <v>363</v>
      </c>
    </row>
    <row r="747" spans="12:14" x14ac:dyDescent="0.25">
      <c r="L747" s="19" t="str">
        <f t="shared" ca="1" si="30"/>
        <v/>
      </c>
      <c r="M747" s="19" t="str">
        <f t="shared" si="31"/>
        <v/>
      </c>
      <c r="N747" s="19" t="s">
        <v>363</v>
      </c>
    </row>
    <row r="748" spans="12:14" x14ac:dyDescent="0.25">
      <c r="L748" s="19" t="str">
        <f t="shared" ca="1" si="30"/>
        <v/>
      </c>
      <c r="M748" s="19" t="str">
        <f t="shared" si="31"/>
        <v/>
      </c>
      <c r="N748" s="19" t="s">
        <v>363</v>
      </c>
    </row>
    <row r="749" spans="12:14" x14ac:dyDescent="0.25">
      <c r="L749" s="19" t="str">
        <f t="shared" ca="1" si="30"/>
        <v/>
      </c>
      <c r="M749" s="19" t="str">
        <f t="shared" si="31"/>
        <v/>
      </c>
      <c r="N749" s="19" t="s">
        <v>363</v>
      </c>
    </row>
    <row r="750" spans="12:14" x14ac:dyDescent="0.25">
      <c r="L750" s="19" t="str">
        <f t="shared" ca="1" si="30"/>
        <v/>
      </c>
      <c r="M750" s="19" t="str">
        <f t="shared" si="31"/>
        <v/>
      </c>
      <c r="N750" s="19" t="s">
        <v>363</v>
      </c>
    </row>
    <row r="751" spans="12:14" x14ac:dyDescent="0.25">
      <c r="L751" s="19" t="str">
        <f t="shared" ca="1" si="30"/>
        <v/>
      </c>
      <c r="M751" s="19" t="str">
        <f t="shared" si="31"/>
        <v/>
      </c>
      <c r="N751" s="19" t="s">
        <v>363</v>
      </c>
    </row>
    <row r="752" spans="12:14" x14ac:dyDescent="0.25">
      <c r="L752" s="19" t="str">
        <f t="shared" ca="1" si="30"/>
        <v/>
      </c>
      <c r="M752" s="19" t="str">
        <f t="shared" si="31"/>
        <v/>
      </c>
      <c r="N752" s="19" t="s">
        <v>363</v>
      </c>
    </row>
    <row r="753" spans="12:14" x14ac:dyDescent="0.25">
      <c r="L753" s="19" t="str">
        <f t="shared" ca="1" si="30"/>
        <v/>
      </c>
      <c r="M753" s="19" t="str">
        <f t="shared" si="31"/>
        <v/>
      </c>
      <c r="N753" s="19" t="s">
        <v>363</v>
      </c>
    </row>
    <row r="754" spans="12:14" x14ac:dyDescent="0.25">
      <c r="L754" s="19" t="str">
        <f t="shared" ca="1" si="30"/>
        <v/>
      </c>
      <c r="M754" s="19" t="str">
        <f t="shared" si="31"/>
        <v/>
      </c>
      <c r="N754" s="19" t="s">
        <v>363</v>
      </c>
    </row>
    <row r="755" spans="12:14" x14ac:dyDescent="0.25">
      <c r="L755" s="19" t="str">
        <f t="shared" ca="1" si="30"/>
        <v/>
      </c>
      <c r="M755" s="19" t="str">
        <f t="shared" si="31"/>
        <v/>
      </c>
      <c r="N755" s="19" t="s">
        <v>363</v>
      </c>
    </row>
    <row r="756" spans="12:14" x14ac:dyDescent="0.25">
      <c r="L756" s="19" t="str">
        <f t="shared" ca="1" si="30"/>
        <v/>
      </c>
      <c r="M756" s="19" t="str">
        <f t="shared" si="31"/>
        <v/>
      </c>
      <c r="N756" s="19" t="s">
        <v>363</v>
      </c>
    </row>
    <row r="757" spans="12:14" x14ac:dyDescent="0.25">
      <c r="L757" s="19" t="str">
        <f t="shared" ca="1" si="30"/>
        <v/>
      </c>
      <c r="M757" s="19" t="str">
        <f t="shared" si="31"/>
        <v/>
      </c>
      <c r="N757" s="19" t="s">
        <v>363</v>
      </c>
    </row>
    <row r="758" spans="12:14" x14ac:dyDescent="0.25">
      <c r="L758" s="19" t="str">
        <f t="shared" ca="1" si="30"/>
        <v/>
      </c>
      <c r="M758" s="19" t="str">
        <f t="shared" si="31"/>
        <v/>
      </c>
      <c r="N758" s="19" t="s">
        <v>363</v>
      </c>
    </row>
    <row r="759" spans="12:14" x14ac:dyDescent="0.25">
      <c r="L759" s="19" t="str">
        <f t="shared" ca="1" si="30"/>
        <v/>
      </c>
      <c r="M759" s="19" t="str">
        <f t="shared" si="31"/>
        <v/>
      </c>
      <c r="N759" s="19" t="s">
        <v>363</v>
      </c>
    </row>
    <row r="760" spans="12:14" x14ac:dyDescent="0.25">
      <c r="L760" s="19" t="str">
        <f t="shared" ca="1" si="30"/>
        <v/>
      </c>
      <c r="M760" s="19" t="str">
        <f t="shared" si="31"/>
        <v/>
      </c>
      <c r="N760" s="19" t="s">
        <v>363</v>
      </c>
    </row>
    <row r="761" spans="12:14" x14ac:dyDescent="0.25">
      <c r="L761" s="19" t="str">
        <f t="shared" ca="1" si="30"/>
        <v/>
      </c>
      <c r="M761" s="19" t="str">
        <f t="shared" si="31"/>
        <v/>
      </c>
      <c r="N761" s="19" t="s">
        <v>363</v>
      </c>
    </row>
    <row r="762" spans="12:14" x14ac:dyDescent="0.25">
      <c r="L762" s="19" t="str">
        <f t="shared" ca="1" si="30"/>
        <v/>
      </c>
      <c r="M762" s="19" t="str">
        <f t="shared" si="31"/>
        <v/>
      </c>
      <c r="N762" s="19" t="s">
        <v>363</v>
      </c>
    </row>
    <row r="763" spans="12:14" x14ac:dyDescent="0.25">
      <c r="L763" s="19" t="str">
        <f t="shared" ca="1" si="30"/>
        <v/>
      </c>
      <c r="M763" s="19" t="str">
        <f t="shared" si="31"/>
        <v/>
      </c>
      <c r="N763" s="19" t="s">
        <v>363</v>
      </c>
    </row>
    <row r="764" spans="12:14" x14ac:dyDescent="0.25">
      <c r="L764" s="19" t="str">
        <f t="shared" ca="1" si="30"/>
        <v/>
      </c>
      <c r="M764" s="19" t="str">
        <f t="shared" si="31"/>
        <v/>
      </c>
      <c r="N764" s="19" t="s">
        <v>363</v>
      </c>
    </row>
    <row r="765" spans="12:14" x14ac:dyDescent="0.25">
      <c r="L765" s="19" t="str">
        <f t="shared" ca="1" si="30"/>
        <v/>
      </c>
      <c r="M765" s="19" t="str">
        <f t="shared" si="31"/>
        <v/>
      </c>
      <c r="N765" s="19" t="s">
        <v>363</v>
      </c>
    </row>
    <row r="766" spans="12:14" x14ac:dyDescent="0.25">
      <c r="L766" s="19" t="str">
        <f t="shared" ca="1" si="30"/>
        <v/>
      </c>
      <c r="M766" s="19" t="str">
        <f t="shared" si="31"/>
        <v/>
      </c>
      <c r="N766" s="19" t="s">
        <v>363</v>
      </c>
    </row>
    <row r="767" spans="12:14" x14ac:dyDescent="0.25">
      <c r="L767" s="19" t="str">
        <f t="shared" ca="1" si="30"/>
        <v/>
      </c>
      <c r="M767" s="19" t="str">
        <f t="shared" si="31"/>
        <v/>
      </c>
      <c r="N767" s="19" t="s">
        <v>363</v>
      </c>
    </row>
    <row r="768" spans="12:14" x14ac:dyDescent="0.25">
      <c r="L768" s="19" t="str">
        <f t="shared" ca="1" si="30"/>
        <v/>
      </c>
      <c r="M768" s="19" t="str">
        <f t="shared" si="31"/>
        <v/>
      </c>
      <c r="N768" s="19" t="s">
        <v>363</v>
      </c>
    </row>
    <row r="769" spans="12:14" x14ac:dyDescent="0.25">
      <c r="L769" s="19" t="str">
        <f t="shared" ca="1" si="30"/>
        <v/>
      </c>
      <c r="M769" s="19" t="str">
        <f t="shared" si="31"/>
        <v/>
      </c>
      <c r="N769" s="19" t="s">
        <v>363</v>
      </c>
    </row>
    <row r="770" spans="12:14" x14ac:dyDescent="0.25">
      <c r="L770" s="19" t="str">
        <f t="shared" ref="L770:L833" ca="1" si="32">IF(A770="","",RANDBETWEEN(1,10))</f>
        <v/>
      </c>
      <c r="M770" s="19" t="str">
        <f t="shared" ref="M770:M833" si="33">IF(A770="","",IF(L770&lt;8,"calibracion","validacion"))</f>
        <v/>
      </c>
      <c r="N770" s="19" t="s">
        <v>363</v>
      </c>
    </row>
    <row r="771" spans="12:14" x14ac:dyDescent="0.25">
      <c r="L771" s="19" t="str">
        <f t="shared" ca="1" si="32"/>
        <v/>
      </c>
      <c r="M771" s="19" t="str">
        <f t="shared" si="33"/>
        <v/>
      </c>
      <c r="N771" s="19" t="s">
        <v>363</v>
      </c>
    </row>
    <row r="772" spans="12:14" x14ac:dyDescent="0.25">
      <c r="L772" s="19" t="str">
        <f t="shared" ca="1" si="32"/>
        <v/>
      </c>
      <c r="M772" s="19" t="str">
        <f t="shared" si="33"/>
        <v/>
      </c>
      <c r="N772" s="19" t="s">
        <v>363</v>
      </c>
    </row>
    <row r="773" spans="12:14" x14ac:dyDescent="0.25">
      <c r="L773" s="19" t="str">
        <f t="shared" ca="1" si="32"/>
        <v/>
      </c>
      <c r="M773" s="19" t="str">
        <f t="shared" si="33"/>
        <v/>
      </c>
      <c r="N773" s="19" t="s">
        <v>363</v>
      </c>
    </row>
    <row r="774" spans="12:14" x14ac:dyDescent="0.25">
      <c r="L774" s="19" t="str">
        <f t="shared" ca="1" si="32"/>
        <v/>
      </c>
      <c r="M774" s="19" t="str">
        <f t="shared" si="33"/>
        <v/>
      </c>
      <c r="N774" s="19" t="s">
        <v>363</v>
      </c>
    </row>
    <row r="775" spans="12:14" x14ac:dyDescent="0.25">
      <c r="L775" s="19" t="str">
        <f t="shared" ca="1" si="32"/>
        <v/>
      </c>
      <c r="M775" s="19" t="str">
        <f t="shared" si="33"/>
        <v/>
      </c>
      <c r="N775" s="19" t="s">
        <v>363</v>
      </c>
    </row>
    <row r="776" spans="12:14" x14ac:dyDescent="0.25">
      <c r="L776" s="19" t="str">
        <f t="shared" ca="1" si="32"/>
        <v/>
      </c>
      <c r="M776" s="19" t="str">
        <f t="shared" si="33"/>
        <v/>
      </c>
      <c r="N776" s="19" t="s">
        <v>363</v>
      </c>
    </row>
    <row r="777" spans="12:14" x14ac:dyDescent="0.25">
      <c r="L777" s="19" t="str">
        <f t="shared" ca="1" si="32"/>
        <v/>
      </c>
      <c r="M777" s="19" t="str">
        <f t="shared" si="33"/>
        <v/>
      </c>
      <c r="N777" s="19" t="s">
        <v>363</v>
      </c>
    </row>
    <row r="778" spans="12:14" x14ac:dyDescent="0.25">
      <c r="L778" s="19" t="str">
        <f t="shared" ca="1" si="32"/>
        <v/>
      </c>
      <c r="M778" s="19" t="str">
        <f t="shared" si="33"/>
        <v/>
      </c>
      <c r="N778" s="19" t="s">
        <v>363</v>
      </c>
    </row>
    <row r="779" spans="12:14" x14ac:dyDescent="0.25">
      <c r="L779" s="19" t="str">
        <f t="shared" ca="1" si="32"/>
        <v/>
      </c>
      <c r="M779" s="19" t="str">
        <f t="shared" si="33"/>
        <v/>
      </c>
      <c r="N779" s="19" t="s">
        <v>363</v>
      </c>
    </row>
    <row r="780" spans="12:14" x14ac:dyDescent="0.25">
      <c r="L780" s="19" t="str">
        <f t="shared" ca="1" si="32"/>
        <v/>
      </c>
      <c r="M780" s="19" t="str">
        <f t="shared" si="33"/>
        <v/>
      </c>
      <c r="N780" s="19" t="s">
        <v>363</v>
      </c>
    </row>
    <row r="781" spans="12:14" x14ac:dyDescent="0.25">
      <c r="L781" s="19" t="str">
        <f t="shared" ca="1" si="32"/>
        <v/>
      </c>
      <c r="M781" s="19" t="str">
        <f t="shared" si="33"/>
        <v/>
      </c>
      <c r="N781" s="19" t="s">
        <v>363</v>
      </c>
    </row>
    <row r="782" spans="12:14" x14ac:dyDescent="0.25">
      <c r="L782" s="19" t="str">
        <f t="shared" ca="1" si="32"/>
        <v/>
      </c>
      <c r="M782" s="19" t="str">
        <f t="shared" si="33"/>
        <v/>
      </c>
      <c r="N782" s="19" t="s">
        <v>363</v>
      </c>
    </row>
    <row r="783" spans="12:14" x14ac:dyDescent="0.25">
      <c r="L783" s="19" t="str">
        <f t="shared" ca="1" si="32"/>
        <v/>
      </c>
      <c r="M783" s="19" t="str">
        <f t="shared" si="33"/>
        <v/>
      </c>
      <c r="N783" s="19" t="s">
        <v>363</v>
      </c>
    </row>
    <row r="784" spans="12:14" x14ac:dyDescent="0.25">
      <c r="L784" s="19" t="str">
        <f t="shared" ca="1" si="32"/>
        <v/>
      </c>
      <c r="M784" s="19" t="str">
        <f t="shared" si="33"/>
        <v/>
      </c>
      <c r="N784" s="19" t="s">
        <v>363</v>
      </c>
    </row>
    <row r="785" spans="12:14" x14ac:dyDescent="0.25">
      <c r="L785" s="19" t="str">
        <f t="shared" ca="1" si="32"/>
        <v/>
      </c>
      <c r="M785" s="19" t="str">
        <f t="shared" si="33"/>
        <v/>
      </c>
      <c r="N785" s="19" t="s">
        <v>363</v>
      </c>
    </row>
    <row r="786" spans="12:14" x14ac:dyDescent="0.25">
      <c r="L786" s="19" t="str">
        <f t="shared" ca="1" si="32"/>
        <v/>
      </c>
      <c r="M786" s="19" t="str">
        <f t="shared" si="33"/>
        <v/>
      </c>
      <c r="N786" s="19" t="s">
        <v>363</v>
      </c>
    </row>
    <row r="787" spans="12:14" x14ac:dyDescent="0.25">
      <c r="L787" s="19" t="str">
        <f t="shared" ca="1" si="32"/>
        <v/>
      </c>
      <c r="M787" s="19" t="str">
        <f t="shared" si="33"/>
        <v/>
      </c>
      <c r="N787" s="19" t="s">
        <v>363</v>
      </c>
    </row>
    <row r="788" spans="12:14" x14ac:dyDescent="0.25">
      <c r="L788" s="19" t="str">
        <f t="shared" ca="1" si="32"/>
        <v/>
      </c>
      <c r="M788" s="19" t="str">
        <f t="shared" si="33"/>
        <v/>
      </c>
      <c r="N788" s="19" t="s">
        <v>363</v>
      </c>
    </row>
    <row r="789" spans="12:14" x14ac:dyDescent="0.25">
      <c r="L789" s="19" t="str">
        <f t="shared" ca="1" si="32"/>
        <v/>
      </c>
      <c r="M789" s="19" t="str">
        <f t="shared" si="33"/>
        <v/>
      </c>
      <c r="N789" s="19" t="s">
        <v>363</v>
      </c>
    </row>
    <row r="790" spans="12:14" x14ac:dyDescent="0.25">
      <c r="L790" s="19" t="str">
        <f t="shared" ca="1" si="32"/>
        <v/>
      </c>
      <c r="M790" s="19" t="str">
        <f t="shared" si="33"/>
        <v/>
      </c>
      <c r="N790" s="19" t="s">
        <v>363</v>
      </c>
    </row>
    <row r="791" spans="12:14" x14ac:dyDescent="0.25">
      <c r="L791" s="19" t="str">
        <f t="shared" ca="1" si="32"/>
        <v/>
      </c>
      <c r="M791" s="19" t="str">
        <f t="shared" si="33"/>
        <v/>
      </c>
      <c r="N791" s="19" t="s">
        <v>363</v>
      </c>
    </row>
    <row r="792" spans="12:14" x14ac:dyDescent="0.25">
      <c r="L792" s="19" t="str">
        <f t="shared" ca="1" si="32"/>
        <v/>
      </c>
      <c r="M792" s="19" t="str">
        <f t="shared" si="33"/>
        <v/>
      </c>
      <c r="N792" s="19" t="s">
        <v>363</v>
      </c>
    </row>
    <row r="793" spans="12:14" x14ac:dyDescent="0.25">
      <c r="L793" s="19" t="str">
        <f t="shared" ca="1" si="32"/>
        <v/>
      </c>
      <c r="M793" s="19" t="str">
        <f t="shared" si="33"/>
        <v/>
      </c>
      <c r="N793" s="19" t="s">
        <v>363</v>
      </c>
    </row>
    <row r="794" spans="12:14" x14ac:dyDescent="0.25">
      <c r="L794" s="19" t="str">
        <f t="shared" ca="1" si="32"/>
        <v/>
      </c>
      <c r="M794" s="19" t="str">
        <f t="shared" si="33"/>
        <v/>
      </c>
      <c r="N794" s="19" t="s">
        <v>363</v>
      </c>
    </row>
    <row r="795" spans="12:14" x14ac:dyDescent="0.25">
      <c r="L795" s="19" t="str">
        <f t="shared" ca="1" si="32"/>
        <v/>
      </c>
      <c r="M795" s="19" t="str">
        <f t="shared" si="33"/>
        <v/>
      </c>
      <c r="N795" s="19" t="s">
        <v>363</v>
      </c>
    </row>
    <row r="796" spans="12:14" x14ac:dyDescent="0.25">
      <c r="L796" s="19" t="str">
        <f t="shared" ca="1" si="32"/>
        <v/>
      </c>
      <c r="M796" s="19" t="str">
        <f t="shared" si="33"/>
        <v/>
      </c>
      <c r="N796" s="19" t="s">
        <v>363</v>
      </c>
    </row>
    <row r="797" spans="12:14" x14ac:dyDescent="0.25">
      <c r="L797" s="19" t="str">
        <f t="shared" ca="1" si="32"/>
        <v/>
      </c>
      <c r="M797" s="19" t="str">
        <f t="shared" si="33"/>
        <v/>
      </c>
      <c r="N797" s="19" t="s">
        <v>363</v>
      </c>
    </row>
    <row r="798" spans="12:14" x14ac:dyDescent="0.25">
      <c r="L798" s="19" t="str">
        <f t="shared" ca="1" si="32"/>
        <v/>
      </c>
      <c r="M798" s="19" t="str">
        <f t="shared" si="33"/>
        <v/>
      </c>
      <c r="N798" s="19" t="s">
        <v>363</v>
      </c>
    </row>
    <row r="799" spans="12:14" x14ac:dyDescent="0.25">
      <c r="L799" s="19" t="str">
        <f t="shared" ca="1" si="32"/>
        <v/>
      </c>
      <c r="M799" s="19" t="str">
        <f t="shared" si="33"/>
        <v/>
      </c>
      <c r="N799" s="19" t="s">
        <v>363</v>
      </c>
    </row>
    <row r="800" spans="12:14" x14ac:dyDescent="0.25">
      <c r="L800" s="19" t="str">
        <f t="shared" ca="1" si="32"/>
        <v/>
      </c>
      <c r="M800" s="19" t="str">
        <f t="shared" si="33"/>
        <v/>
      </c>
      <c r="N800" s="19" t="s">
        <v>363</v>
      </c>
    </row>
    <row r="801" spans="12:14" x14ac:dyDescent="0.25">
      <c r="L801" s="19" t="str">
        <f t="shared" ca="1" si="32"/>
        <v/>
      </c>
      <c r="M801" s="19" t="str">
        <f t="shared" si="33"/>
        <v/>
      </c>
      <c r="N801" s="19" t="s">
        <v>363</v>
      </c>
    </row>
    <row r="802" spans="12:14" x14ac:dyDescent="0.25">
      <c r="L802" s="19" t="str">
        <f t="shared" ca="1" si="32"/>
        <v/>
      </c>
      <c r="M802" s="19" t="str">
        <f t="shared" si="33"/>
        <v/>
      </c>
      <c r="N802" s="19" t="s">
        <v>363</v>
      </c>
    </row>
    <row r="803" spans="12:14" x14ac:dyDescent="0.25">
      <c r="L803" s="19" t="str">
        <f t="shared" ca="1" si="32"/>
        <v/>
      </c>
      <c r="M803" s="19" t="str">
        <f t="shared" si="33"/>
        <v/>
      </c>
      <c r="N803" s="19" t="s">
        <v>363</v>
      </c>
    </row>
    <row r="804" spans="12:14" x14ac:dyDescent="0.25">
      <c r="L804" s="19" t="str">
        <f t="shared" ca="1" si="32"/>
        <v/>
      </c>
      <c r="M804" s="19" t="str">
        <f t="shared" si="33"/>
        <v/>
      </c>
      <c r="N804" s="19" t="s">
        <v>363</v>
      </c>
    </row>
    <row r="805" spans="12:14" x14ac:dyDescent="0.25">
      <c r="L805" s="19" t="str">
        <f t="shared" ca="1" si="32"/>
        <v/>
      </c>
      <c r="M805" s="19" t="str">
        <f t="shared" si="33"/>
        <v/>
      </c>
      <c r="N805" s="19" t="s">
        <v>363</v>
      </c>
    </row>
    <row r="806" spans="12:14" x14ac:dyDescent="0.25">
      <c r="L806" s="19" t="str">
        <f t="shared" ca="1" si="32"/>
        <v/>
      </c>
      <c r="M806" s="19" t="str">
        <f t="shared" si="33"/>
        <v/>
      </c>
      <c r="N806" s="19" t="s">
        <v>363</v>
      </c>
    </row>
    <row r="807" spans="12:14" x14ac:dyDescent="0.25">
      <c r="L807" s="19" t="str">
        <f t="shared" ca="1" si="32"/>
        <v/>
      </c>
      <c r="M807" s="19" t="str">
        <f t="shared" si="33"/>
        <v/>
      </c>
      <c r="N807" s="19" t="s">
        <v>363</v>
      </c>
    </row>
    <row r="808" spans="12:14" x14ac:dyDescent="0.25">
      <c r="L808" s="19" t="str">
        <f t="shared" ca="1" si="32"/>
        <v/>
      </c>
      <c r="M808" s="19" t="str">
        <f t="shared" si="33"/>
        <v/>
      </c>
      <c r="N808" s="19" t="s">
        <v>363</v>
      </c>
    </row>
    <row r="809" spans="12:14" x14ac:dyDescent="0.25">
      <c r="L809" s="19" t="str">
        <f t="shared" ca="1" si="32"/>
        <v/>
      </c>
      <c r="M809" s="19" t="str">
        <f t="shared" si="33"/>
        <v/>
      </c>
      <c r="N809" s="19" t="s">
        <v>363</v>
      </c>
    </row>
    <row r="810" spans="12:14" x14ac:dyDescent="0.25">
      <c r="L810" s="19" t="str">
        <f t="shared" ca="1" si="32"/>
        <v/>
      </c>
      <c r="M810" s="19" t="str">
        <f t="shared" si="33"/>
        <v/>
      </c>
      <c r="N810" s="19" t="s">
        <v>363</v>
      </c>
    </row>
    <row r="811" spans="12:14" x14ac:dyDescent="0.25">
      <c r="L811" s="19" t="str">
        <f t="shared" ca="1" si="32"/>
        <v/>
      </c>
      <c r="M811" s="19" t="str">
        <f t="shared" si="33"/>
        <v/>
      </c>
      <c r="N811" s="19" t="s">
        <v>363</v>
      </c>
    </row>
    <row r="812" spans="12:14" x14ac:dyDescent="0.25">
      <c r="L812" s="19" t="str">
        <f t="shared" ca="1" si="32"/>
        <v/>
      </c>
      <c r="M812" s="19" t="str">
        <f t="shared" si="33"/>
        <v/>
      </c>
      <c r="N812" s="19" t="s">
        <v>363</v>
      </c>
    </row>
    <row r="813" spans="12:14" x14ac:dyDescent="0.25">
      <c r="L813" s="19" t="str">
        <f t="shared" ca="1" si="32"/>
        <v/>
      </c>
      <c r="M813" s="19" t="str">
        <f t="shared" si="33"/>
        <v/>
      </c>
      <c r="N813" s="19" t="s">
        <v>363</v>
      </c>
    </row>
    <row r="814" spans="12:14" x14ac:dyDescent="0.25">
      <c r="L814" s="19" t="str">
        <f t="shared" ca="1" si="32"/>
        <v/>
      </c>
      <c r="M814" s="19" t="str">
        <f t="shared" si="33"/>
        <v/>
      </c>
      <c r="N814" s="19" t="s">
        <v>363</v>
      </c>
    </row>
    <row r="815" spans="12:14" x14ac:dyDescent="0.25">
      <c r="L815" s="19" t="str">
        <f t="shared" ca="1" si="32"/>
        <v/>
      </c>
      <c r="M815" s="19" t="str">
        <f t="shared" si="33"/>
        <v/>
      </c>
      <c r="N815" s="19" t="s">
        <v>363</v>
      </c>
    </row>
    <row r="816" spans="12:14" x14ac:dyDescent="0.25">
      <c r="L816" s="19" t="str">
        <f t="shared" ca="1" si="32"/>
        <v/>
      </c>
      <c r="M816" s="19" t="str">
        <f t="shared" si="33"/>
        <v/>
      </c>
      <c r="N816" s="19" t="s">
        <v>363</v>
      </c>
    </row>
    <row r="817" spans="12:14" x14ac:dyDescent="0.25">
      <c r="L817" s="19" t="str">
        <f t="shared" ca="1" si="32"/>
        <v/>
      </c>
      <c r="M817" s="19" t="str">
        <f t="shared" si="33"/>
        <v/>
      </c>
      <c r="N817" s="19" t="s">
        <v>363</v>
      </c>
    </row>
    <row r="818" spans="12:14" x14ac:dyDescent="0.25">
      <c r="L818" s="19" t="str">
        <f t="shared" ca="1" si="32"/>
        <v/>
      </c>
      <c r="M818" s="19" t="str">
        <f t="shared" si="33"/>
        <v/>
      </c>
      <c r="N818" s="19" t="s">
        <v>363</v>
      </c>
    </row>
    <row r="819" spans="12:14" x14ac:dyDescent="0.25">
      <c r="L819" s="19" t="str">
        <f t="shared" ca="1" si="32"/>
        <v/>
      </c>
      <c r="M819" s="19" t="str">
        <f t="shared" si="33"/>
        <v/>
      </c>
      <c r="N819" s="19" t="s">
        <v>363</v>
      </c>
    </row>
    <row r="820" spans="12:14" x14ac:dyDescent="0.25">
      <c r="L820" s="19" t="str">
        <f t="shared" ca="1" si="32"/>
        <v/>
      </c>
      <c r="M820" s="19" t="str">
        <f t="shared" si="33"/>
        <v/>
      </c>
      <c r="N820" s="19" t="s">
        <v>363</v>
      </c>
    </row>
    <row r="821" spans="12:14" x14ac:dyDescent="0.25">
      <c r="L821" s="19" t="str">
        <f t="shared" ca="1" si="32"/>
        <v/>
      </c>
      <c r="M821" s="19" t="str">
        <f t="shared" si="33"/>
        <v/>
      </c>
      <c r="N821" s="19" t="s">
        <v>363</v>
      </c>
    </row>
    <row r="822" spans="12:14" x14ac:dyDescent="0.25">
      <c r="L822" s="19" t="str">
        <f t="shared" ca="1" si="32"/>
        <v/>
      </c>
      <c r="M822" s="19" t="str">
        <f t="shared" si="33"/>
        <v/>
      </c>
      <c r="N822" s="19" t="s">
        <v>363</v>
      </c>
    </row>
    <row r="823" spans="12:14" x14ac:dyDescent="0.25">
      <c r="L823" s="19" t="str">
        <f t="shared" ca="1" si="32"/>
        <v/>
      </c>
      <c r="M823" s="19" t="str">
        <f t="shared" si="33"/>
        <v/>
      </c>
      <c r="N823" s="19" t="s">
        <v>363</v>
      </c>
    </row>
    <row r="824" spans="12:14" x14ac:dyDescent="0.25">
      <c r="L824" s="19" t="str">
        <f t="shared" ca="1" si="32"/>
        <v/>
      </c>
      <c r="M824" s="19" t="str">
        <f t="shared" si="33"/>
        <v/>
      </c>
      <c r="N824" s="19" t="s">
        <v>363</v>
      </c>
    </row>
    <row r="825" spans="12:14" x14ac:dyDescent="0.25">
      <c r="L825" s="19" t="str">
        <f t="shared" ca="1" si="32"/>
        <v/>
      </c>
      <c r="M825" s="19" t="str">
        <f t="shared" si="33"/>
        <v/>
      </c>
      <c r="N825" s="19" t="s">
        <v>363</v>
      </c>
    </row>
    <row r="826" spans="12:14" x14ac:dyDescent="0.25">
      <c r="L826" s="19" t="str">
        <f t="shared" ca="1" si="32"/>
        <v/>
      </c>
      <c r="M826" s="19" t="str">
        <f t="shared" si="33"/>
        <v/>
      </c>
      <c r="N826" s="19" t="s">
        <v>363</v>
      </c>
    </row>
    <row r="827" spans="12:14" x14ac:dyDescent="0.25">
      <c r="L827" s="19" t="str">
        <f t="shared" ca="1" si="32"/>
        <v/>
      </c>
      <c r="M827" s="19" t="str">
        <f t="shared" si="33"/>
        <v/>
      </c>
      <c r="N827" s="19" t="s">
        <v>363</v>
      </c>
    </row>
    <row r="828" spans="12:14" x14ac:dyDescent="0.25">
      <c r="L828" s="19" t="str">
        <f t="shared" ca="1" si="32"/>
        <v/>
      </c>
      <c r="M828" s="19" t="str">
        <f t="shared" si="33"/>
        <v/>
      </c>
      <c r="N828" s="19" t="s">
        <v>363</v>
      </c>
    </row>
    <row r="829" spans="12:14" x14ac:dyDescent="0.25">
      <c r="L829" s="19" t="str">
        <f t="shared" ca="1" si="32"/>
        <v/>
      </c>
      <c r="M829" s="19" t="str">
        <f t="shared" si="33"/>
        <v/>
      </c>
      <c r="N829" s="19" t="s">
        <v>363</v>
      </c>
    </row>
    <row r="830" spans="12:14" x14ac:dyDescent="0.25">
      <c r="L830" s="19" t="str">
        <f t="shared" ca="1" si="32"/>
        <v/>
      </c>
      <c r="M830" s="19" t="str">
        <f t="shared" si="33"/>
        <v/>
      </c>
      <c r="N830" s="19" t="s">
        <v>363</v>
      </c>
    </row>
    <row r="831" spans="12:14" x14ac:dyDescent="0.25">
      <c r="L831" s="19" t="str">
        <f t="shared" ca="1" si="32"/>
        <v/>
      </c>
      <c r="M831" s="19" t="str">
        <f t="shared" si="33"/>
        <v/>
      </c>
      <c r="N831" s="19" t="s">
        <v>363</v>
      </c>
    </row>
    <row r="832" spans="12:14" x14ac:dyDescent="0.25">
      <c r="L832" s="19" t="str">
        <f t="shared" ca="1" si="32"/>
        <v/>
      </c>
      <c r="M832" s="19" t="str">
        <f t="shared" si="33"/>
        <v/>
      </c>
      <c r="N832" s="19" t="s">
        <v>363</v>
      </c>
    </row>
    <row r="833" spans="12:14" x14ac:dyDescent="0.25">
      <c r="L833" s="19" t="str">
        <f t="shared" ca="1" si="32"/>
        <v/>
      </c>
      <c r="M833" s="19" t="str">
        <f t="shared" si="33"/>
        <v/>
      </c>
      <c r="N833" s="19" t="s">
        <v>363</v>
      </c>
    </row>
    <row r="834" spans="12:14" x14ac:dyDescent="0.25">
      <c r="L834" s="19" t="str">
        <f t="shared" ref="L834:L897" ca="1" si="34">IF(A834="","",RANDBETWEEN(1,10))</f>
        <v/>
      </c>
      <c r="M834" s="19" t="str">
        <f t="shared" ref="M834:M897" si="35">IF(A834="","",IF(L834&lt;8,"calibracion","validacion"))</f>
        <v/>
      </c>
      <c r="N834" s="19" t="s">
        <v>363</v>
      </c>
    </row>
    <row r="835" spans="12:14" x14ac:dyDescent="0.25">
      <c r="L835" s="19" t="str">
        <f t="shared" ca="1" si="34"/>
        <v/>
      </c>
      <c r="M835" s="19" t="str">
        <f t="shared" si="35"/>
        <v/>
      </c>
      <c r="N835" s="19" t="s">
        <v>363</v>
      </c>
    </row>
    <row r="836" spans="12:14" x14ac:dyDescent="0.25">
      <c r="L836" s="19" t="str">
        <f t="shared" ca="1" si="34"/>
        <v/>
      </c>
      <c r="M836" s="19" t="str">
        <f t="shared" si="35"/>
        <v/>
      </c>
      <c r="N836" s="19" t="s">
        <v>363</v>
      </c>
    </row>
    <row r="837" spans="12:14" x14ac:dyDescent="0.25">
      <c r="L837" s="19" t="str">
        <f t="shared" ca="1" si="34"/>
        <v/>
      </c>
      <c r="M837" s="19" t="str">
        <f t="shared" si="35"/>
        <v/>
      </c>
      <c r="N837" s="19" t="s">
        <v>363</v>
      </c>
    </row>
    <row r="838" spans="12:14" x14ac:dyDescent="0.25">
      <c r="L838" s="19" t="str">
        <f t="shared" ca="1" si="34"/>
        <v/>
      </c>
      <c r="M838" s="19" t="str">
        <f t="shared" si="35"/>
        <v/>
      </c>
      <c r="N838" s="19" t="s">
        <v>363</v>
      </c>
    </row>
    <row r="839" spans="12:14" x14ac:dyDescent="0.25">
      <c r="L839" s="19" t="str">
        <f t="shared" ca="1" si="34"/>
        <v/>
      </c>
      <c r="M839" s="19" t="str">
        <f t="shared" si="35"/>
        <v/>
      </c>
      <c r="N839" s="19" t="s">
        <v>363</v>
      </c>
    </row>
    <row r="840" spans="12:14" x14ac:dyDescent="0.25">
      <c r="L840" s="19" t="str">
        <f t="shared" ca="1" si="34"/>
        <v/>
      </c>
      <c r="M840" s="19" t="str">
        <f t="shared" si="35"/>
        <v/>
      </c>
      <c r="N840" s="19" t="s">
        <v>363</v>
      </c>
    </row>
    <row r="841" spans="12:14" x14ac:dyDescent="0.25">
      <c r="L841" s="19" t="str">
        <f t="shared" ca="1" si="34"/>
        <v/>
      </c>
      <c r="M841" s="19" t="str">
        <f t="shared" si="35"/>
        <v/>
      </c>
      <c r="N841" s="19" t="s">
        <v>363</v>
      </c>
    </row>
    <row r="842" spans="12:14" x14ac:dyDescent="0.25">
      <c r="L842" s="19" t="str">
        <f t="shared" ca="1" si="34"/>
        <v/>
      </c>
      <c r="M842" s="19" t="str">
        <f t="shared" si="35"/>
        <v/>
      </c>
      <c r="N842" s="19" t="s">
        <v>363</v>
      </c>
    </row>
    <row r="843" spans="12:14" x14ac:dyDescent="0.25">
      <c r="L843" s="19" t="str">
        <f t="shared" ca="1" si="34"/>
        <v/>
      </c>
      <c r="M843" s="19" t="str">
        <f t="shared" si="35"/>
        <v/>
      </c>
      <c r="N843" s="19" t="s">
        <v>363</v>
      </c>
    </row>
    <row r="844" spans="12:14" x14ac:dyDescent="0.25">
      <c r="L844" s="19" t="str">
        <f t="shared" ca="1" si="34"/>
        <v/>
      </c>
      <c r="M844" s="19" t="str">
        <f t="shared" si="35"/>
        <v/>
      </c>
      <c r="N844" s="19" t="s">
        <v>363</v>
      </c>
    </row>
    <row r="845" spans="12:14" x14ac:dyDescent="0.25">
      <c r="L845" s="19" t="str">
        <f t="shared" ca="1" si="34"/>
        <v/>
      </c>
      <c r="M845" s="19" t="str">
        <f t="shared" si="35"/>
        <v/>
      </c>
      <c r="N845" s="19" t="s">
        <v>363</v>
      </c>
    </row>
    <row r="846" spans="12:14" x14ac:dyDescent="0.25">
      <c r="L846" s="19" t="str">
        <f t="shared" ca="1" si="34"/>
        <v/>
      </c>
      <c r="M846" s="19" t="str">
        <f t="shared" si="35"/>
        <v/>
      </c>
      <c r="N846" s="19" t="s">
        <v>363</v>
      </c>
    </row>
    <row r="847" spans="12:14" x14ac:dyDescent="0.25">
      <c r="L847" s="19" t="str">
        <f t="shared" ca="1" si="34"/>
        <v/>
      </c>
      <c r="M847" s="19" t="str">
        <f t="shared" si="35"/>
        <v/>
      </c>
      <c r="N847" s="19" t="s">
        <v>363</v>
      </c>
    </row>
    <row r="848" spans="12:14" x14ac:dyDescent="0.25">
      <c r="L848" s="19" t="str">
        <f t="shared" ca="1" si="34"/>
        <v/>
      </c>
      <c r="M848" s="19" t="str">
        <f t="shared" si="35"/>
        <v/>
      </c>
      <c r="N848" s="19" t="s">
        <v>363</v>
      </c>
    </row>
    <row r="849" spans="12:14" x14ac:dyDescent="0.25">
      <c r="L849" s="19" t="str">
        <f t="shared" ca="1" si="34"/>
        <v/>
      </c>
      <c r="M849" s="19" t="str">
        <f t="shared" si="35"/>
        <v/>
      </c>
      <c r="N849" s="19" t="s">
        <v>363</v>
      </c>
    </row>
    <row r="850" spans="12:14" x14ac:dyDescent="0.25">
      <c r="L850" s="19" t="str">
        <f t="shared" ca="1" si="34"/>
        <v/>
      </c>
      <c r="M850" s="19" t="str">
        <f t="shared" si="35"/>
        <v/>
      </c>
      <c r="N850" s="19" t="s">
        <v>363</v>
      </c>
    </row>
    <row r="851" spans="12:14" x14ac:dyDescent="0.25">
      <c r="L851" s="19" t="str">
        <f t="shared" ca="1" si="34"/>
        <v/>
      </c>
      <c r="M851" s="19" t="str">
        <f t="shared" si="35"/>
        <v/>
      </c>
      <c r="N851" s="19" t="s">
        <v>363</v>
      </c>
    </row>
    <row r="852" spans="12:14" x14ac:dyDescent="0.25">
      <c r="L852" s="19" t="str">
        <f t="shared" ca="1" si="34"/>
        <v/>
      </c>
      <c r="M852" s="19" t="str">
        <f t="shared" si="35"/>
        <v/>
      </c>
      <c r="N852" s="19" t="s">
        <v>363</v>
      </c>
    </row>
    <row r="853" spans="12:14" x14ac:dyDescent="0.25">
      <c r="L853" s="19" t="str">
        <f t="shared" ca="1" si="34"/>
        <v/>
      </c>
      <c r="M853" s="19" t="str">
        <f t="shared" si="35"/>
        <v/>
      </c>
      <c r="N853" s="19" t="s">
        <v>363</v>
      </c>
    </row>
    <row r="854" spans="12:14" x14ac:dyDescent="0.25">
      <c r="L854" s="19" t="str">
        <f t="shared" ca="1" si="34"/>
        <v/>
      </c>
      <c r="M854" s="19" t="str">
        <f t="shared" si="35"/>
        <v/>
      </c>
      <c r="N854" s="19" t="s">
        <v>363</v>
      </c>
    </row>
    <row r="855" spans="12:14" x14ac:dyDescent="0.25">
      <c r="L855" s="19" t="str">
        <f t="shared" ca="1" si="34"/>
        <v/>
      </c>
      <c r="M855" s="19" t="str">
        <f t="shared" si="35"/>
        <v/>
      </c>
      <c r="N855" s="19" t="s">
        <v>363</v>
      </c>
    </row>
    <row r="856" spans="12:14" x14ac:dyDescent="0.25">
      <c r="L856" s="19" t="str">
        <f t="shared" ca="1" si="34"/>
        <v/>
      </c>
      <c r="M856" s="19" t="str">
        <f t="shared" si="35"/>
        <v/>
      </c>
      <c r="N856" s="19" t="s">
        <v>363</v>
      </c>
    </row>
    <row r="857" spans="12:14" x14ac:dyDescent="0.25">
      <c r="L857" s="19" t="str">
        <f t="shared" ca="1" si="34"/>
        <v/>
      </c>
      <c r="M857" s="19" t="str">
        <f t="shared" si="35"/>
        <v/>
      </c>
      <c r="N857" s="19" t="s">
        <v>363</v>
      </c>
    </row>
    <row r="858" spans="12:14" x14ac:dyDescent="0.25">
      <c r="L858" s="19" t="str">
        <f t="shared" ca="1" si="34"/>
        <v/>
      </c>
      <c r="M858" s="19" t="str">
        <f t="shared" si="35"/>
        <v/>
      </c>
      <c r="N858" s="19" t="s">
        <v>363</v>
      </c>
    </row>
    <row r="859" spans="12:14" x14ac:dyDescent="0.25">
      <c r="L859" s="19" t="str">
        <f t="shared" ca="1" si="34"/>
        <v/>
      </c>
      <c r="M859" s="19" t="str">
        <f t="shared" si="35"/>
        <v/>
      </c>
      <c r="N859" s="19" t="s">
        <v>363</v>
      </c>
    </row>
    <row r="860" spans="12:14" x14ac:dyDescent="0.25">
      <c r="L860" s="19" t="str">
        <f t="shared" ca="1" si="34"/>
        <v/>
      </c>
      <c r="M860" s="19" t="str">
        <f t="shared" si="35"/>
        <v/>
      </c>
      <c r="N860" s="19" t="s">
        <v>363</v>
      </c>
    </row>
    <row r="861" spans="12:14" x14ac:dyDescent="0.25">
      <c r="L861" s="19" t="str">
        <f t="shared" ca="1" si="34"/>
        <v/>
      </c>
      <c r="M861" s="19" t="str">
        <f t="shared" si="35"/>
        <v/>
      </c>
      <c r="N861" s="19" t="s">
        <v>363</v>
      </c>
    </row>
    <row r="862" spans="12:14" x14ac:dyDescent="0.25">
      <c r="L862" s="19" t="str">
        <f t="shared" ca="1" si="34"/>
        <v/>
      </c>
      <c r="M862" s="19" t="str">
        <f t="shared" si="35"/>
        <v/>
      </c>
      <c r="N862" s="19" t="s">
        <v>363</v>
      </c>
    </row>
    <row r="863" spans="12:14" x14ac:dyDescent="0.25">
      <c r="L863" s="19" t="str">
        <f t="shared" ca="1" si="34"/>
        <v/>
      </c>
      <c r="M863" s="19" t="str">
        <f t="shared" si="35"/>
        <v/>
      </c>
      <c r="N863" s="19" t="s">
        <v>363</v>
      </c>
    </row>
    <row r="864" spans="12:14" x14ac:dyDescent="0.25">
      <c r="L864" s="19" t="str">
        <f t="shared" ca="1" si="34"/>
        <v/>
      </c>
      <c r="M864" s="19" t="str">
        <f t="shared" si="35"/>
        <v/>
      </c>
      <c r="N864" s="19" t="s">
        <v>363</v>
      </c>
    </row>
    <row r="865" spans="12:14" x14ac:dyDescent="0.25">
      <c r="L865" s="19" t="str">
        <f t="shared" ca="1" si="34"/>
        <v/>
      </c>
      <c r="M865" s="19" t="str">
        <f t="shared" si="35"/>
        <v/>
      </c>
      <c r="N865" s="19" t="s">
        <v>363</v>
      </c>
    </row>
    <row r="866" spans="12:14" x14ac:dyDescent="0.25">
      <c r="L866" s="19" t="str">
        <f t="shared" ca="1" si="34"/>
        <v/>
      </c>
      <c r="M866" s="19" t="str">
        <f t="shared" si="35"/>
        <v/>
      </c>
      <c r="N866" s="19" t="s">
        <v>363</v>
      </c>
    </row>
    <row r="867" spans="12:14" x14ac:dyDescent="0.25">
      <c r="L867" s="19" t="str">
        <f t="shared" ca="1" si="34"/>
        <v/>
      </c>
      <c r="M867" s="19" t="str">
        <f t="shared" si="35"/>
        <v/>
      </c>
      <c r="N867" s="19" t="s">
        <v>363</v>
      </c>
    </row>
    <row r="868" spans="12:14" x14ac:dyDescent="0.25">
      <c r="L868" s="19" t="str">
        <f t="shared" ca="1" si="34"/>
        <v/>
      </c>
      <c r="M868" s="19" t="str">
        <f t="shared" si="35"/>
        <v/>
      </c>
      <c r="N868" s="19" t="s">
        <v>363</v>
      </c>
    </row>
    <row r="869" spans="12:14" x14ac:dyDescent="0.25">
      <c r="L869" s="19" t="str">
        <f t="shared" ca="1" si="34"/>
        <v/>
      </c>
      <c r="M869" s="19" t="str">
        <f t="shared" si="35"/>
        <v/>
      </c>
      <c r="N869" s="19" t="s">
        <v>363</v>
      </c>
    </row>
    <row r="870" spans="12:14" x14ac:dyDescent="0.25">
      <c r="L870" s="19" t="str">
        <f t="shared" ca="1" si="34"/>
        <v/>
      </c>
      <c r="M870" s="19" t="str">
        <f t="shared" si="35"/>
        <v/>
      </c>
      <c r="N870" s="19" t="s">
        <v>363</v>
      </c>
    </row>
    <row r="871" spans="12:14" x14ac:dyDescent="0.25">
      <c r="L871" s="19" t="str">
        <f t="shared" ca="1" si="34"/>
        <v/>
      </c>
      <c r="M871" s="19" t="str">
        <f t="shared" si="35"/>
        <v/>
      </c>
      <c r="N871" s="19" t="s">
        <v>363</v>
      </c>
    </row>
    <row r="872" spans="12:14" x14ac:dyDescent="0.25">
      <c r="L872" s="19" t="str">
        <f t="shared" ca="1" si="34"/>
        <v/>
      </c>
      <c r="M872" s="19" t="str">
        <f t="shared" si="35"/>
        <v/>
      </c>
      <c r="N872" s="19" t="s">
        <v>363</v>
      </c>
    </row>
    <row r="873" spans="12:14" x14ac:dyDescent="0.25">
      <c r="L873" s="19" t="str">
        <f t="shared" ca="1" si="34"/>
        <v/>
      </c>
      <c r="M873" s="19" t="str">
        <f t="shared" si="35"/>
        <v/>
      </c>
      <c r="N873" s="19" t="s">
        <v>363</v>
      </c>
    </row>
    <row r="874" spans="12:14" x14ac:dyDescent="0.25">
      <c r="L874" s="19" t="str">
        <f t="shared" ca="1" si="34"/>
        <v/>
      </c>
      <c r="M874" s="19" t="str">
        <f t="shared" si="35"/>
        <v/>
      </c>
      <c r="N874" s="19" t="s">
        <v>363</v>
      </c>
    </row>
    <row r="875" spans="12:14" x14ac:dyDescent="0.25">
      <c r="L875" s="19" t="str">
        <f t="shared" ca="1" si="34"/>
        <v/>
      </c>
      <c r="M875" s="19" t="str">
        <f t="shared" si="35"/>
        <v/>
      </c>
      <c r="N875" s="19" t="s">
        <v>363</v>
      </c>
    </row>
    <row r="876" spans="12:14" x14ac:dyDescent="0.25">
      <c r="L876" s="19" t="str">
        <f t="shared" ca="1" si="34"/>
        <v/>
      </c>
      <c r="M876" s="19" t="str">
        <f t="shared" si="35"/>
        <v/>
      </c>
      <c r="N876" s="19" t="s">
        <v>363</v>
      </c>
    </row>
    <row r="877" spans="12:14" x14ac:dyDescent="0.25">
      <c r="L877" s="19" t="str">
        <f t="shared" ca="1" si="34"/>
        <v/>
      </c>
      <c r="M877" s="19" t="str">
        <f t="shared" si="35"/>
        <v/>
      </c>
      <c r="N877" s="19" t="s">
        <v>363</v>
      </c>
    </row>
    <row r="878" spans="12:14" x14ac:dyDescent="0.25">
      <c r="L878" s="19" t="str">
        <f t="shared" ca="1" si="34"/>
        <v/>
      </c>
      <c r="M878" s="19" t="str">
        <f t="shared" si="35"/>
        <v/>
      </c>
      <c r="N878" s="19" t="s">
        <v>363</v>
      </c>
    </row>
    <row r="879" spans="12:14" x14ac:dyDescent="0.25">
      <c r="L879" s="19" t="str">
        <f t="shared" ca="1" si="34"/>
        <v/>
      </c>
      <c r="M879" s="19" t="str">
        <f t="shared" si="35"/>
        <v/>
      </c>
      <c r="N879" s="19" t="s">
        <v>363</v>
      </c>
    </row>
    <row r="880" spans="12:14" x14ac:dyDescent="0.25">
      <c r="L880" s="19" t="str">
        <f t="shared" ca="1" si="34"/>
        <v/>
      </c>
      <c r="M880" s="19" t="str">
        <f t="shared" si="35"/>
        <v/>
      </c>
      <c r="N880" s="19" t="s">
        <v>363</v>
      </c>
    </row>
    <row r="881" spans="12:14" x14ac:dyDescent="0.25">
      <c r="L881" s="19" t="str">
        <f t="shared" ca="1" si="34"/>
        <v/>
      </c>
      <c r="M881" s="19" t="str">
        <f t="shared" si="35"/>
        <v/>
      </c>
      <c r="N881" s="19" t="s">
        <v>363</v>
      </c>
    </row>
    <row r="882" spans="12:14" x14ac:dyDescent="0.25">
      <c r="L882" s="19" t="str">
        <f t="shared" ca="1" si="34"/>
        <v/>
      </c>
      <c r="M882" s="19" t="str">
        <f t="shared" si="35"/>
        <v/>
      </c>
      <c r="N882" s="19" t="s">
        <v>363</v>
      </c>
    </row>
    <row r="883" spans="12:14" x14ac:dyDescent="0.25">
      <c r="L883" s="19" t="str">
        <f t="shared" ca="1" si="34"/>
        <v/>
      </c>
      <c r="M883" s="19" t="str">
        <f t="shared" si="35"/>
        <v/>
      </c>
      <c r="N883" s="19" t="s">
        <v>363</v>
      </c>
    </row>
    <row r="884" spans="12:14" x14ac:dyDescent="0.25">
      <c r="L884" s="19" t="str">
        <f t="shared" ca="1" si="34"/>
        <v/>
      </c>
      <c r="M884" s="19" t="str">
        <f t="shared" si="35"/>
        <v/>
      </c>
      <c r="N884" s="19" t="s">
        <v>363</v>
      </c>
    </row>
    <row r="885" spans="12:14" x14ac:dyDescent="0.25">
      <c r="L885" s="19" t="str">
        <f t="shared" ca="1" si="34"/>
        <v/>
      </c>
      <c r="M885" s="19" t="str">
        <f t="shared" si="35"/>
        <v/>
      </c>
      <c r="N885" s="19" t="s">
        <v>363</v>
      </c>
    </row>
    <row r="886" spans="12:14" x14ac:dyDescent="0.25">
      <c r="L886" s="19" t="str">
        <f t="shared" ca="1" si="34"/>
        <v/>
      </c>
      <c r="M886" s="19" t="str">
        <f t="shared" si="35"/>
        <v/>
      </c>
      <c r="N886" s="19" t="s">
        <v>363</v>
      </c>
    </row>
    <row r="887" spans="12:14" x14ac:dyDescent="0.25">
      <c r="L887" s="19" t="str">
        <f t="shared" ca="1" si="34"/>
        <v/>
      </c>
      <c r="M887" s="19" t="str">
        <f t="shared" si="35"/>
        <v/>
      </c>
      <c r="N887" s="19" t="s">
        <v>363</v>
      </c>
    </row>
    <row r="888" spans="12:14" x14ac:dyDescent="0.25">
      <c r="L888" s="19" t="str">
        <f t="shared" ca="1" si="34"/>
        <v/>
      </c>
      <c r="M888" s="19" t="str">
        <f t="shared" si="35"/>
        <v/>
      </c>
      <c r="N888" s="19" t="s">
        <v>363</v>
      </c>
    </row>
    <row r="889" spans="12:14" x14ac:dyDescent="0.25">
      <c r="L889" s="19" t="str">
        <f t="shared" ca="1" si="34"/>
        <v/>
      </c>
      <c r="M889" s="19" t="str">
        <f t="shared" si="35"/>
        <v/>
      </c>
      <c r="N889" s="19" t="s">
        <v>363</v>
      </c>
    </row>
    <row r="890" spans="12:14" x14ac:dyDescent="0.25">
      <c r="L890" s="19" t="str">
        <f t="shared" ca="1" si="34"/>
        <v/>
      </c>
      <c r="M890" s="19" t="str">
        <f t="shared" si="35"/>
        <v/>
      </c>
      <c r="N890" s="19" t="s">
        <v>363</v>
      </c>
    </row>
    <row r="891" spans="12:14" x14ac:dyDescent="0.25">
      <c r="L891" s="19" t="str">
        <f t="shared" ca="1" si="34"/>
        <v/>
      </c>
      <c r="M891" s="19" t="str">
        <f t="shared" si="35"/>
        <v/>
      </c>
      <c r="N891" s="19" t="s">
        <v>363</v>
      </c>
    </row>
    <row r="892" spans="12:14" x14ac:dyDescent="0.25">
      <c r="L892" s="19" t="str">
        <f t="shared" ca="1" si="34"/>
        <v/>
      </c>
      <c r="M892" s="19" t="str">
        <f t="shared" si="35"/>
        <v/>
      </c>
      <c r="N892" s="19" t="s">
        <v>363</v>
      </c>
    </row>
    <row r="893" spans="12:14" x14ac:dyDescent="0.25">
      <c r="L893" s="19" t="str">
        <f t="shared" ca="1" si="34"/>
        <v/>
      </c>
      <c r="M893" s="19" t="str">
        <f t="shared" si="35"/>
        <v/>
      </c>
      <c r="N893" s="19" t="s">
        <v>363</v>
      </c>
    </row>
    <row r="894" spans="12:14" x14ac:dyDescent="0.25">
      <c r="L894" s="19" t="str">
        <f t="shared" ca="1" si="34"/>
        <v/>
      </c>
      <c r="M894" s="19" t="str">
        <f t="shared" si="35"/>
        <v/>
      </c>
      <c r="N894" s="19" t="s">
        <v>363</v>
      </c>
    </row>
    <row r="895" spans="12:14" x14ac:dyDescent="0.25">
      <c r="L895" s="19" t="str">
        <f t="shared" ca="1" si="34"/>
        <v/>
      </c>
      <c r="M895" s="19" t="str">
        <f t="shared" si="35"/>
        <v/>
      </c>
      <c r="N895" s="19" t="s">
        <v>363</v>
      </c>
    </row>
    <row r="896" spans="12:14" x14ac:dyDescent="0.25">
      <c r="L896" s="19" t="str">
        <f t="shared" ca="1" si="34"/>
        <v/>
      </c>
      <c r="M896" s="19" t="str">
        <f t="shared" si="35"/>
        <v/>
      </c>
      <c r="N896" s="19" t="s">
        <v>363</v>
      </c>
    </row>
    <row r="897" spans="12:14" x14ac:dyDescent="0.25">
      <c r="L897" s="19" t="str">
        <f t="shared" ca="1" si="34"/>
        <v/>
      </c>
      <c r="M897" s="19" t="str">
        <f t="shared" si="35"/>
        <v/>
      </c>
      <c r="N897" s="19" t="s">
        <v>363</v>
      </c>
    </row>
    <row r="898" spans="12:14" x14ac:dyDescent="0.25">
      <c r="L898" s="19" t="str">
        <f t="shared" ref="L898:L961" ca="1" si="36">IF(A898="","",RANDBETWEEN(1,10))</f>
        <v/>
      </c>
      <c r="M898" s="19" t="str">
        <f t="shared" ref="M898:M961" si="37">IF(A898="","",IF(L898&lt;8,"calibracion","validacion"))</f>
        <v/>
      </c>
      <c r="N898" s="19" t="s">
        <v>363</v>
      </c>
    </row>
    <row r="899" spans="12:14" x14ac:dyDescent="0.25">
      <c r="L899" s="19" t="str">
        <f t="shared" ca="1" si="36"/>
        <v/>
      </c>
      <c r="M899" s="19" t="str">
        <f t="shared" si="37"/>
        <v/>
      </c>
      <c r="N899" s="19" t="s">
        <v>363</v>
      </c>
    </row>
    <row r="900" spans="12:14" x14ac:dyDescent="0.25">
      <c r="L900" s="19" t="str">
        <f t="shared" ca="1" si="36"/>
        <v/>
      </c>
      <c r="M900" s="19" t="str">
        <f t="shared" si="37"/>
        <v/>
      </c>
      <c r="N900" s="19" t="s">
        <v>363</v>
      </c>
    </row>
    <row r="901" spans="12:14" x14ac:dyDescent="0.25">
      <c r="L901" s="19" t="str">
        <f t="shared" ca="1" si="36"/>
        <v/>
      </c>
      <c r="M901" s="19" t="str">
        <f t="shared" si="37"/>
        <v/>
      </c>
      <c r="N901" s="19" t="s">
        <v>363</v>
      </c>
    </row>
    <row r="902" spans="12:14" x14ac:dyDescent="0.25">
      <c r="L902" s="19" t="str">
        <f t="shared" ca="1" si="36"/>
        <v/>
      </c>
      <c r="M902" s="19" t="str">
        <f t="shared" si="37"/>
        <v/>
      </c>
      <c r="N902" s="19" t="s">
        <v>363</v>
      </c>
    </row>
    <row r="903" spans="12:14" x14ac:dyDescent="0.25">
      <c r="L903" s="19" t="str">
        <f t="shared" ca="1" si="36"/>
        <v/>
      </c>
      <c r="M903" s="19" t="str">
        <f t="shared" si="37"/>
        <v/>
      </c>
      <c r="N903" s="19" t="s">
        <v>363</v>
      </c>
    </row>
    <row r="904" spans="12:14" x14ac:dyDescent="0.25">
      <c r="L904" s="19" t="str">
        <f t="shared" ca="1" si="36"/>
        <v/>
      </c>
      <c r="M904" s="19" t="str">
        <f t="shared" si="37"/>
        <v/>
      </c>
      <c r="N904" s="19" t="s">
        <v>363</v>
      </c>
    </row>
    <row r="905" spans="12:14" x14ac:dyDescent="0.25">
      <c r="L905" s="19" t="str">
        <f t="shared" ca="1" si="36"/>
        <v/>
      </c>
      <c r="M905" s="19" t="str">
        <f t="shared" si="37"/>
        <v/>
      </c>
      <c r="N905" s="19" t="s">
        <v>363</v>
      </c>
    </row>
    <row r="906" spans="12:14" x14ac:dyDescent="0.25">
      <c r="L906" s="19" t="str">
        <f t="shared" ca="1" si="36"/>
        <v/>
      </c>
      <c r="M906" s="19" t="str">
        <f t="shared" si="37"/>
        <v/>
      </c>
      <c r="N906" s="19" t="s">
        <v>363</v>
      </c>
    </row>
    <row r="907" spans="12:14" x14ac:dyDescent="0.25">
      <c r="L907" s="19" t="str">
        <f t="shared" ca="1" si="36"/>
        <v/>
      </c>
      <c r="M907" s="19" t="str">
        <f t="shared" si="37"/>
        <v/>
      </c>
      <c r="N907" s="19" t="s">
        <v>363</v>
      </c>
    </row>
    <row r="908" spans="12:14" x14ac:dyDescent="0.25">
      <c r="L908" s="19" t="str">
        <f t="shared" ca="1" si="36"/>
        <v/>
      </c>
      <c r="M908" s="19" t="str">
        <f t="shared" si="37"/>
        <v/>
      </c>
      <c r="N908" s="19" t="s">
        <v>363</v>
      </c>
    </row>
    <row r="909" spans="12:14" x14ac:dyDescent="0.25">
      <c r="L909" s="19" t="str">
        <f t="shared" ca="1" si="36"/>
        <v/>
      </c>
      <c r="M909" s="19" t="str">
        <f t="shared" si="37"/>
        <v/>
      </c>
      <c r="N909" s="19" t="s">
        <v>363</v>
      </c>
    </row>
    <row r="910" spans="12:14" x14ac:dyDescent="0.25">
      <c r="L910" s="19" t="str">
        <f t="shared" ca="1" si="36"/>
        <v/>
      </c>
      <c r="M910" s="19" t="str">
        <f t="shared" si="37"/>
        <v/>
      </c>
      <c r="N910" s="19" t="s">
        <v>363</v>
      </c>
    </row>
    <row r="911" spans="12:14" x14ac:dyDescent="0.25">
      <c r="L911" s="19" t="str">
        <f t="shared" ca="1" si="36"/>
        <v/>
      </c>
      <c r="M911" s="19" t="str">
        <f t="shared" si="37"/>
        <v/>
      </c>
      <c r="N911" s="19" t="s">
        <v>363</v>
      </c>
    </row>
    <row r="912" spans="12:14" x14ac:dyDescent="0.25">
      <c r="L912" s="19" t="str">
        <f t="shared" ca="1" si="36"/>
        <v/>
      </c>
      <c r="M912" s="19" t="str">
        <f t="shared" si="37"/>
        <v/>
      </c>
      <c r="N912" s="19" t="s">
        <v>363</v>
      </c>
    </row>
    <row r="913" spans="12:14" x14ac:dyDescent="0.25">
      <c r="L913" s="19" t="str">
        <f t="shared" ca="1" si="36"/>
        <v/>
      </c>
      <c r="M913" s="19" t="str">
        <f t="shared" si="37"/>
        <v/>
      </c>
      <c r="N913" s="19" t="s">
        <v>363</v>
      </c>
    </row>
    <row r="914" spans="12:14" x14ac:dyDescent="0.25">
      <c r="L914" s="19" t="str">
        <f t="shared" ca="1" si="36"/>
        <v/>
      </c>
      <c r="M914" s="19" t="str">
        <f t="shared" si="37"/>
        <v/>
      </c>
      <c r="N914" s="19" t="s">
        <v>363</v>
      </c>
    </row>
    <row r="915" spans="12:14" x14ac:dyDescent="0.25">
      <c r="L915" s="19" t="str">
        <f t="shared" ca="1" si="36"/>
        <v/>
      </c>
      <c r="M915" s="19" t="str">
        <f t="shared" si="37"/>
        <v/>
      </c>
      <c r="N915" s="19" t="s">
        <v>363</v>
      </c>
    </row>
    <row r="916" spans="12:14" x14ac:dyDescent="0.25">
      <c r="L916" s="19" t="str">
        <f t="shared" ca="1" si="36"/>
        <v/>
      </c>
      <c r="M916" s="19" t="str">
        <f t="shared" si="37"/>
        <v/>
      </c>
      <c r="N916" s="19" t="s">
        <v>363</v>
      </c>
    </row>
    <row r="917" spans="12:14" x14ac:dyDescent="0.25">
      <c r="L917" s="19" t="str">
        <f t="shared" ca="1" si="36"/>
        <v/>
      </c>
      <c r="M917" s="19" t="str">
        <f t="shared" si="37"/>
        <v/>
      </c>
      <c r="N917" s="19" t="s">
        <v>363</v>
      </c>
    </row>
    <row r="918" spans="12:14" x14ac:dyDescent="0.25">
      <c r="L918" s="19" t="str">
        <f t="shared" ca="1" si="36"/>
        <v/>
      </c>
      <c r="M918" s="19" t="str">
        <f t="shared" si="37"/>
        <v/>
      </c>
      <c r="N918" s="19" t="s">
        <v>363</v>
      </c>
    </row>
    <row r="919" spans="12:14" x14ac:dyDescent="0.25">
      <c r="L919" s="19" t="str">
        <f t="shared" ca="1" si="36"/>
        <v/>
      </c>
      <c r="M919" s="19" t="str">
        <f t="shared" si="37"/>
        <v/>
      </c>
      <c r="N919" s="19" t="s">
        <v>363</v>
      </c>
    </row>
    <row r="920" spans="12:14" x14ac:dyDescent="0.25">
      <c r="L920" s="19" t="str">
        <f t="shared" ca="1" si="36"/>
        <v/>
      </c>
      <c r="M920" s="19" t="str">
        <f t="shared" si="37"/>
        <v/>
      </c>
      <c r="N920" s="19" t="s">
        <v>363</v>
      </c>
    </row>
    <row r="921" spans="12:14" x14ac:dyDescent="0.25">
      <c r="L921" s="19" t="str">
        <f t="shared" ca="1" si="36"/>
        <v/>
      </c>
      <c r="M921" s="19" t="str">
        <f t="shared" si="37"/>
        <v/>
      </c>
      <c r="N921" s="19" t="s">
        <v>363</v>
      </c>
    </row>
    <row r="922" spans="12:14" x14ac:dyDescent="0.25">
      <c r="L922" s="19" t="str">
        <f t="shared" ca="1" si="36"/>
        <v/>
      </c>
      <c r="M922" s="19" t="str">
        <f t="shared" si="37"/>
        <v/>
      </c>
      <c r="N922" s="19" t="s">
        <v>363</v>
      </c>
    </row>
    <row r="923" spans="12:14" x14ac:dyDescent="0.25">
      <c r="L923" s="19" t="str">
        <f t="shared" ca="1" si="36"/>
        <v/>
      </c>
      <c r="M923" s="19" t="str">
        <f t="shared" si="37"/>
        <v/>
      </c>
      <c r="N923" s="19" t="s">
        <v>363</v>
      </c>
    </row>
    <row r="924" spans="12:14" x14ac:dyDescent="0.25">
      <c r="L924" s="19" t="str">
        <f t="shared" ca="1" si="36"/>
        <v/>
      </c>
      <c r="M924" s="19" t="str">
        <f t="shared" si="37"/>
        <v/>
      </c>
      <c r="N924" s="19" t="s">
        <v>363</v>
      </c>
    </row>
    <row r="925" spans="12:14" x14ac:dyDescent="0.25">
      <c r="L925" s="19" t="str">
        <f t="shared" ca="1" si="36"/>
        <v/>
      </c>
      <c r="M925" s="19" t="str">
        <f t="shared" si="37"/>
        <v/>
      </c>
      <c r="N925" s="19" t="s">
        <v>363</v>
      </c>
    </row>
    <row r="926" spans="12:14" x14ac:dyDescent="0.25">
      <c r="L926" s="19" t="str">
        <f t="shared" ca="1" si="36"/>
        <v/>
      </c>
      <c r="M926" s="19" t="str">
        <f t="shared" si="37"/>
        <v/>
      </c>
      <c r="N926" s="19" t="s">
        <v>363</v>
      </c>
    </row>
    <row r="927" spans="12:14" x14ac:dyDescent="0.25">
      <c r="L927" s="19" t="str">
        <f t="shared" ca="1" si="36"/>
        <v/>
      </c>
      <c r="M927" s="19" t="str">
        <f t="shared" si="37"/>
        <v/>
      </c>
      <c r="N927" s="19" t="s">
        <v>363</v>
      </c>
    </row>
    <row r="928" spans="12:14" x14ac:dyDescent="0.25">
      <c r="L928" s="19" t="str">
        <f t="shared" ca="1" si="36"/>
        <v/>
      </c>
      <c r="M928" s="19" t="str">
        <f t="shared" si="37"/>
        <v/>
      </c>
      <c r="N928" s="19" t="s">
        <v>363</v>
      </c>
    </row>
    <row r="929" spans="12:14" x14ac:dyDescent="0.25">
      <c r="L929" s="19" t="str">
        <f t="shared" ca="1" si="36"/>
        <v/>
      </c>
      <c r="M929" s="19" t="str">
        <f t="shared" si="37"/>
        <v/>
      </c>
      <c r="N929" s="19" t="s">
        <v>363</v>
      </c>
    </row>
    <row r="930" spans="12:14" x14ac:dyDescent="0.25">
      <c r="L930" s="19" t="str">
        <f t="shared" ca="1" si="36"/>
        <v/>
      </c>
      <c r="M930" s="19" t="str">
        <f t="shared" si="37"/>
        <v/>
      </c>
      <c r="N930" s="19" t="s">
        <v>363</v>
      </c>
    </row>
    <row r="931" spans="12:14" x14ac:dyDescent="0.25">
      <c r="L931" s="19" t="str">
        <f t="shared" ca="1" si="36"/>
        <v/>
      </c>
      <c r="M931" s="19" t="str">
        <f t="shared" si="37"/>
        <v/>
      </c>
      <c r="N931" s="19" t="s">
        <v>363</v>
      </c>
    </row>
    <row r="932" spans="12:14" x14ac:dyDescent="0.25">
      <c r="L932" s="19" t="str">
        <f t="shared" ca="1" si="36"/>
        <v/>
      </c>
      <c r="M932" s="19" t="str">
        <f t="shared" si="37"/>
        <v/>
      </c>
      <c r="N932" s="19" t="s">
        <v>363</v>
      </c>
    </row>
    <row r="933" spans="12:14" x14ac:dyDescent="0.25">
      <c r="L933" s="19" t="str">
        <f t="shared" ca="1" si="36"/>
        <v/>
      </c>
      <c r="M933" s="19" t="str">
        <f t="shared" si="37"/>
        <v/>
      </c>
      <c r="N933" s="19" t="s">
        <v>363</v>
      </c>
    </row>
    <row r="934" spans="12:14" x14ac:dyDescent="0.25">
      <c r="L934" s="19" t="str">
        <f t="shared" ca="1" si="36"/>
        <v/>
      </c>
      <c r="M934" s="19" t="str">
        <f t="shared" si="37"/>
        <v/>
      </c>
      <c r="N934" s="19" t="s">
        <v>363</v>
      </c>
    </row>
    <row r="935" spans="12:14" x14ac:dyDescent="0.25">
      <c r="L935" s="19" t="str">
        <f t="shared" ca="1" si="36"/>
        <v/>
      </c>
      <c r="M935" s="19" t="str">
        <f t="shared" si="37"/>
        <v/>
      </c>
      <c r="N935" s="19" t="s">
        <v>363</v>
      </c>
    </row>
    <row r="936" spans="12:14" x14ac:dyDescent="0.25">
      <c r="L936" s="19" t="str">
        <f t="shared" ca="1" si="36"/>
        <v/>
      </c>
      <c r="M936" s="19" t="str">
        <f t="shared" si="37"/>
        <v/>
      </c>
      <c r="N936" s="19" t="s">
        <v>363</v>
      </c>
    </row>
    <row r="937" spans="12:14" x14ac:dyDescent="0.25">
      <c r="L937" s="19" t="str">
        <f t="shared" ca="1" si="36"/>
        <v/>
      </c>
      <c r="M937" s="19" t="str">
        <f t="shared" si="37"/>
        <v/>
      </c>
      <c r="N937" s="19" t="s">
        <v>363</v>
      </c>
    </row>
    <row r="938" spans="12:14" x14ac:dyDescent="0.25">
      <c r="L938" s="19" t="str">
        <f t="shared" ca="1" si="36"/>
        <v/>
      </c>
      <c r="M938" s="19" t="str">
        <f t="shared" si="37"/>
        <v/>
      </c>
      <c r="N938" s="19" t="s">
        <v>363</v>
      </c>
    </row>
    <row r="939" spans="12:14" x14ac:dyDescent="0.25">
      <c r="L939" s="19" t="str">
        <f t="shared" ca="1" si="36"/>
        <v/>
      </c>
      <c r="M939" s="19" t="str">
        <f t="shared" si="37"/>
        <v/>
      </c>
      <c r="N939" s="19" t="s">
        <v>363</v>
      </c>
    </row>
    <row r="940" spans="12:14" x14ac:dyDescent="0.25">
      <c r="L940" s="19" t="str">
        <f t="shared" ca="1" si="36"/>
        <v/>
      </c>
      <c r="M940" s="19" t="str">
        <f t="shared" si="37"/>
        <v/>
      </c>
      <c r="N940" s="19" t="s">
        <v>363</v>
      </c>
    </row>
    <row r="941" spans="12:14" x14ac:dyDescent="0.25">
      <c r="L941" s="19" t="str">
        <f t="shared" ca="1" si="36"/>
        <v/>
      </c>
      <c r="M941" s="19" t="str">
        <f t="shared" si="37"/>
        <v/>
      </c>
      <c r="N941" s="19" t="s">
        <v>363</v>
      </c>
    </row>
    <row r="942" spans="12:14" x14ac:dyDescent="0.25">
      <c r="L942" s="19" t="str">
        <f t="shared" ca="1" si="36"/>
        <v/>
      </c>
      <c r="M942" s="19" t="str">
        <f t="shared" si="37"/>
        <v/>
      </c>
      <c r="N942" s="19" t="s">
        <v>363</v>
      </c>
    </row>
    <row r="943" spans="12:14" x14ac:dyDescent="0.25">
      <c r="L943" s="19" t="str">
        <f t="shared" ca="1" si="36"/>
        <v/>
      </c>
      <c r="M943" s="19" t="str">
        <f t="shared" si="37"/>
        <v/>
      </c>
      <c r="N943" s="19" t="s">
        <v>363</v>
      </c>
    </row>
    <row r="944" spans="12:14" x14ac:dyDescent="0.25">
      <c r="L944" s="19" t="str">
        <f t="shared" ca="1" si="36"/>
        <v/>
      </c>
      <c r="M944" s="19" t="str">
        <f t="shared" si="37"/>
        <v/>
      </c>
      <c r="N944" s="19" t="s">
        <v>363</v>
      </c>
    </row>
    <row r="945" spans="12:14" x14ac:dyDescent="0.25">
      <c r="L945" s="19" t="str">
        <f t="shared" ca="1" si="36"/>
        <v/>
      </c>
      <c r="M945" s="19" t="str">
        <f t="shared" si="37"/>
        <v/>
      </c>
      <c r="N945" s="19" t="s">
        <v>363</v>
      </c>
    </row>
    <row r="946" spans="12:14" x14ac:dyDescent="0.25">
      <c r="L946" s="19" t="str">
        <f t="shared" ca="1" si="36"/>
        <v/>
      </c>
      <c r="M946" s="19" t="str">
        <f t="shared" si="37"/>
        <v/>
      </c>
      <c r="N946" s="19" t="s">
        <v>363</v>
      </c>
    </row>
    <row r="947" spans="12:14" x14ac:dyDescent="0.25">
      <c r="L947" s="19" t="str">
        <f t="shared" ca="1" si="36"/>
        <v/>
      </c>
      <c r="M947" s="19" t="str">
        <f t="shared" si="37"/>
        <v/>
      </c>
      <c r="N947" s="19" t="s">
        <v>363</v>
      </c>
    </row>
    <row r="948" spans="12:14" x14ac:dyDescent="0.25">
      <c r="L948" s="19" t="str">
        <f t="shared" ca="1" si="36"/>
        <v/>
      </c>
      <c r="M948" s="19" t="str">
        <f t="shared" si="37"/>
        <v/>
      </c>
      <c r="N948" s="19" t="s">
        <v>363</v>
      </c>
    </row>
    <row r="949" spans="12:14" x14ac:dyDescent="0.25">
      <c r="L949" s="19" t="str">
        <f t="shared" ca="1" si="36"/>
        <v/>
      </c>
      <c r="M949" s="19" t="str">
        <f t="shared" si="37"/>
        <v/>
      </c>
      <c r="N949" s="19" t="s">
        <v>363</v>
      </c>
    </row>
    <row r="950" spans="12:14" x14ac:dyDescent="0.25">
      <c r="L950" s="19" t="str">
        <f t="shared" ca="1" si="36"/>
        <v/>
      </c>
      <c r="M950" s="19" t="str">
        <f t="shared" si="37"/>
        <v/>
      </c>
      <c r="N950" s="19" t="s">
        <v>363</v>
      </c>
    </row>
    <row r="951" spans="12:14" x14ac:dyDescent="0.25">
      <c r="L951" s="19" t="str">
        <f t="shared" ca="1" si="36"/>
        <v/>
      </c>
      <c r="M951" s="19" t="str">
        <f t="shared" si="37"/>
        <v/>
      </c>
      <c r="N951" s="19" t="s">
        <v>363</v>
      </c>
    </row>
    <row r="952" spans="12:14" x14ac:dyDescent="0.25">
      <c r="L952" s="19" t="str">
        <f t="shared" ca="1" si="36"/>
        <v/>
      </c>
      <c r="M952" s="19" t="str">
        <f t="shared" si="37"/>
        <v/>
      </c>
      <c r="N952" s="19" t="s">
        <v>363</v>
      </c>
    </row>
    <row r="953" spans="12:14" x14ac:dyDescent="0.25">
      <c r="L953" s="19" t="str">
        <f t="shared" ca="1" si="36"/>
        <v/>
      </c>
      <c r="M953" s="19" t="str">
        <f t="shared" si="37"/>
        <v/>
      </c>
      <c r="N953" s="19" t="s">
        <v>363</v>
      </c>
    </row>
    <row r="954" spans="12:14" x14ac:dyDescent="0.25">
      <c r="L954" s="19" t="str">
        <f t="shared" ca="1" si="36"/>
        <v/>
      </c>
      <c r="M954" s="19" t="str">
        <f t="shared" si="37"/>
        <v/>
      </c>
      <c r="N954" s="19" t="s">
        <v>363</v>
      </c>
    </row>
    <row r="955" spans="12:14" x14ac:dyDescent="0.25">
      <c r="L955" s="19" t="str">
        <f t="shared" ca="1" si="36"/>
        <v/>
      </c>
      <c r="M955" s="19" t="str">
        <f t="shared" si="37"/>
        <v/>
      </c>
      <c r="N955" s="19" t="s">
        <v>363</v>
      </c>
    </row>
    <row r="956" spans="12:14" x14ac:dyDescent="0.25">
      <c r="L956" s="19" t="str">
        <f t="shared" ca="1" si="36"/>
        <v/>
      </c>
      <c r="M956" s="19" t="str">
        <f t="shared" si="37"/>
        <v/>
      </c>
      <c r="N956" s="19" t="s">
        <v>363</v>
      </c>
    </row>
    <row r="957" spans="12:14" x14ac:dyDescent="0.25">
      <c r="L957" s="19" t="str">
        <f t="shared" ca="1" si="36"/>
        <v/>
      </c>
      <c r="M957" s="19" t="str">
        <f t="shared" si="37"/>
        <v/>
      </c>
      <c r="N957" s="19" t="s">
        <v>363</v>
      </c>
    </row>
    <row r="958" spans="12:14" x14ac:dyDescent="0.25">
      <c r="L958" s="19" t="str">
        <f t="shared" ca="1" si="36"/>
        <v/>
      </c>
      <c r="M958" s="19" t="str">
        <f t="shared" si="37"/>
        <v/>
      </c>
      <c r="N958" s="19" t="s">
        <v>363</v>
      </c>
    </row>
    <row r="959" spans="12:14" x14ac:dyDescent="0.25">
      <c r="L959" s="19" t="str">
        <f t="shared" ca="1" si="36"/>
        <v/>
      </c>
      <c r="M959" s="19" t="str">
        <f t="shared" si="37"/>
        <v/>
      </c>
      <c r="N959" s="19" t="s">
        <v>363</v>
      </c>
    </row>
    <row r="960" spans="12:14" x14ac:dyDescent="0.25">
      <c r="L960" s="19" t="str">
        <f t="shared" ca="1" si="36"/>
        <v/>
      </c>
      <c r="M960" s="19" t="str">
        <f t="shared" si="37"/>
        <v/>
      </c>
      <c r="N960" s="19" t="s">
        <v>363</v>
      </c>
    </row>
    <row r="961" spans="12:14" x14ac:dyDescent="0.25">
      <c r="L961" s="19" t="str">
        <f t="shared" ca="1" si="36"/>
        <v/>
      </c>
      <c r="M961" s="19" t="str">
        <f t="shared" si="37"/>
        <v/>
      </c>
      <c r="N961" s="19" t="s">
        <v>363</v>
      </c>
    </row>
    <row r="962" spans="12:14" x14ac:dyDescent="0.25">
      <c r="L962" s="19" t="str">
        <f t="shared" ref="L962:L999" ca="1" si="38">IF(A962="","",RANDBETWEEN(1,10))</f>
        <v/>
      </c>
      <c r="M962" s="19" t="str">
        <f t="shared" ref="M962:M1025" si="39">IF(A962="","",IF(L962&lt;8,"calibracion","validacion"))</f>
        <v/>
      </c>
      <c r="N962" s="19" t="s">
        <v>363</v>
      </c>
    </row>
    <row r="963" spans="12:14" x14ac:dyDescent="0.25">
      <c r="L963" s="19" t="str">
        <f t="shared" ca="1" si="38"/>
        <v/>
      </c>
      <c r="M963" s="19" t="str">
        <f t="shared" si="39"/>
        <v/>
      </c>
      <c r="N963" s="19" t="s">
        <v>363</v>
      </c>
    </row>
    <row r="964" spans="12:14" x14ac:dyDescent="0.25">
      <c r="L964" s="19" t="str">
        <f t="shared" ca="1" si="38"/>
        <v/>
      </c>
      <c r="M964" s="19" t="str">
        <f t="shared" si="39"/>
        <v/>
      </c>
      <c r="N964" s="19" t="s">
        <v>363</v>
      </c>
    </row>
    <row r="965" spans="12:14" x14ac:dyDescent="0.25">
      <c r="L965" s="19" t="str">
        <f t="shared" ca="1" si="38"/>
        <v/>
      </c>
      <c r="M965" s="19" t="str">
        <f t="shared" si="39"/>
        <v/>
      </c>
      <c r="N965" s="19" t="s">
        <v>363</v>
      </c>
    </row>
    <row r="966" spans="12:14" x14ac:dyDescent="0.25">
      <c r="L966" s="19" t="str">
        <f t="shared" ca="1" si="38"/>
        <v/>
      </c>
      <c r="M966" s="19" t="str">
        <f t="shared" si="39"/>
        <v/>
      </c>
      <c r="N966" s="19" t="s">
        <v>363</v>
      </c>
    </row>
    <row r="967" spans="12:14" x14ac:dyDescent="0.25">
      <c r="L967" s="19" t="str">
        <f t="shared" ca="1" si="38"/>
        <v/>
      </c>
      <c r="M967" s="19" t="str">
        <f t="shared" si="39"/>
        <v/>
      </c>
      <c r="N967" s="19" t="s">
        <v>363</v>
      </c>
    </row>
    <row r="968" spans="12:14" x14ac:dyDescent="0.25">
      <c r="L968" s="19" t="str">
        <f t="shared" ca="1" si="38"/>
        <v/>
      </c>
      <c r="M968" s="19" t="str">
        <f t="shared" si="39"/>
        <v/>
      </c>
      <c r="N968" s="19" t="s">
        <v>363</v>
      </c>
    </row>
    <row r="969" spans="12:14" x14ac:dyDescent="0.25">
      <c r="L969" s="19" t="str">
        <f t="shared" ca="1" si="38"/>
        <v/>
      </c>
      <c r="M969" s="19" t="str">
        <f t="shared" si="39"/>
        <v/>
      </c>
      <c r="N969" s="19" t="s">
        <v>363</v>
      </c>
    </row>
    <row r="970" spans="12:14" x14ac:dyDescent="0.25">
      <c r="L970" s="19" t="str">
        <f t="shared" ca="1" si="38"/>
        <v/>
      </c>
      <c r="M970" s="19" t="str">
        <f t="shared" si="39"/>
        <v/>
      </c>
      <c r="N970" s="19" t="s">
        <v>363</v>
      </c>
    </row>
    <row r="971" spans="12:14" x14ac:dyDescent="0.25">
      <c r="L971" s="19" t="str">
        <f t="shared" ca="1" si="38"/>
        <v/>
      </c>
      <c r="M971" s="19" t="str">
        <f t="shared" si="39"/>
        <v/>
      </c>
      <c r="N971" s="19" t="s">
        <v>363</v>
      </c>
    </row>
    <row r="972" spans="12:14" x14ac:dyDescent="0.25">
      <c r="L972" s="19" t="str">
        <f t="shared" ca="1" si="38"/>
        <v/>
      </c>
      <c r="M972" s="19" t="str">
        <f t="shared" si="39"/>
        <v/>
      </c>
      <c r="N972" s="19" t="s">
        <v>363</v>
      </c>
    </row>
    <row r="973" spans="12:14" x14ac:dyDescent="0.25">
      <c r="L973" s="19" t="str">
        <f t="shared" ca="1" si="38"/>
        <v/>
      </c>
      <c r="M973" s="19" t="str">
        <f t="shared" si="39"/>
        <v/>
      </c>
      <c r="N973" s="19" t="s">
        <v>363</v>
      </c>
    </row>
    <row r="974" spans="12:14" x14ac:dyDescent="0.25">
      <c r="L974" s="19" t="str">
        <f t="shared" ca="1" si="38"/>
        <v/>
      </c>
      <c r="M974" s="19" t="str">
        <f t="shared" si="39"/>
        <v/>
      </c>
      <c r="N974" s="19" t="s">
        <v>363</v>
      </c>
    </row>
    <row r="975" spans="12:14" x14ac:dyDescent="0.25">
      <c r="L975" s="19" t="str">
        <f t="shared" ca="1" si="38"/>
        <v/>
      </c>
      <c r="M975" s="19" t="str">
        <f t="shared" si="39"/>
        <v/>
      </c>
      <c r="N975" s="19" t="s">
        <v>363</v>
      </c>
    </row>
    <row r="976" spans="12:14" x14ac:dyDescent="0.25">
      <c r="L976" s="19" t="str">
        <f t="shared" ca="1" si="38"/>
        <v/>
      </c>
      <c r="M976" s="19" t="str">
        <f t="shared" si="39"/>
        <v/>
      </c>
      <c r="N976" s="19" t="s">
        <v>363</v>
      </c>
    </row>
    <row r="977" spans="12:14" x14ac:dyDescent="0.25">
      <c r="L977" s="19" t="str">
        <f t="shared" ca="1" si="38"/>
        <v/>
      </c>
      <c r="M977" s="19" t="str">
        <f t="shared" si="39"/>
        <v/>
      </c>
      <c r="N977" s="19" t="s">
        <v>363</v>
      </c>
    </row>
    <row r="978" spans="12:14" x14ac:dyDescent="0.25">
      <c r="L978" s="19" t="str">
        <f t="shared" ca="1" si="38"/>
        <v/>
      </c>
      <c r="M978" s="19" t="str">
        <f t="shared" si="39"/>
        <v/>
      </c>
      <c r="N978" s="19" t="s">
        <v>363</v>
      </c>
    </row>
    <row r="979" spans="12:14" x14ac:dyDescent="0.25">
      <c r="L979" s="19" t="str">
        <f t="shared" ca="1" si="38"/>
        <v/>
      </c>
      <c r="M979" s="19" t="str">
        <f t="shared" si="39"/>
        <v/>
      </c>
      <c r="N979" s="19" t="s">
        <v>363</v>
      </c>
    </row>
    <row r="980" spans="12:14" x14ac:dyDescent="0.25">
      <c r="L980" s="19" t="str">
        <f t="shared" ca="1" si="38"/>
        <v/>
      </c>
      <c r="M980" s="19" t="str">
        <f t="shared" si="39"/>
        <v/>
      </c>
      <c r="N980" s="19" t="s">
        <v>363</v>
      </c>
    </row>
    <row r="981" spans="12:14" x14ac:dyDescent="0.25">
      <c r="L981" s="19" t="str">
        <f t="shared" ca="1" si="38"/>
        <v/>
      </c>
      <c r="M981" s="19" t="str">
        <f t="shared" si="39"/>
        <v/>
      </c>
      <c r="N981" s="19" t="s">
        <v>363</v>
      </c>
    </row>
    <row r="982" spans="12:14" x14ac:dyDescent="0.25">
      <c r="L982" s="19" t="str">
        <f t="shared" ca="1" si="38"/>
        <v/>
      </c>
      <c r="M982" s="19" t="str">
        <f t="shared" si="39"/>
        <v/>
      </c>
      <c r="N982" s="19" t="s">
        <v>363</v>
      </c>
    </row>
    <row r="983" spans="12:14" x14ac:dyDescent="0.25">
      <c r="L983" s="19" t="str">
        <f t="shared" ca="1" si="38"/>
        <v/>
      </c>
      <c r="M983" s="19" t="str">
        <f t="shared" si="39"/>
        <v/>
      </c>
      <c r="N983" s="19" t="s">
        <v>363</v>
      </c>
    </row>
    <row r="984" spans="12:14" x14ac:dyDescent="0.25">
      <c r="L984" s="19" t="str">
        <f t="shared" ca="1" si="38"/>
        <v/>
      </c>
      <c r="M984" s="19" t="str">
        <f t="shared" si="39"/>
        <v/>
      </c>
      <c r="N984" s="19" t="s">
        <v>363</v>
      </c>
    </row>
    <row r="985" spans="12:14" x14ac:dyDescent="0.25">
      <c r="L985" s="19" t="str">
        <f t="shared" ca="1" si="38"/>
        <v/>
      </c>
      <c r="M985" s="19" t="str">
        <f t="shared" si="39"/>
        <v/>
      </c>
      <c r="N985" s="19" t="s">
        <v>363</v>
      </c>
    </row>
    <row r="986" spans="12:14" x14ac:dyDescent="0.25">
      <c r="L986" s="19" t="str">
        <f t="shared" ca="1" si="38"/>
        <v/>
      </c>
      <c r="M986" s="19" t="str">
        <f t="shared" si="39"/>
        <v/>
      </c>
      <c r="N986" s="19" t="s">
        <v>363</v>
      </c>
    </row>
    <row r="987" spans="12:14" x14ac:dyDescent="0.25">
      <c r="L987" s="19" t="str">
        <f t="shared" ca="1" si="38"/>
        <v/>
      </c>
      <c r="M987" s="19" t="str">
        <f t="shared" si="39"/>
        <v/>
      </c>
      <c r="N987" s="19" t="s">
        <v>363</v>
      </c>
    </row>
    <row r="988" spans="12:14" x14ac:dyDescent="0.25">
      <c r="L988" s="19" t="str">
        <f t="shared" ca="1" si="38"/>
        <v/>
      </c>
      <c r="M988" s="19" t="str">
        <f t="shared" si="39"/>
        <v/>
      </c>
      <c r="N988" s="19" t="s">
        <v>363</v>
      </c>
    </row>
    <row r="989" spans="12:14" x14ac:dyDescent="0.25">
      <c r="L989" s="19" t="str">
        <f t="shared" ca="1" si="38"/>
        <v/>
      </c>
      <c r="M989" s="19" t="str">
        <f t="shared" si="39"/>
        <v/>
      </c>
      <c r="N989" s="19" t="s">
        <v>363</v>
      </c>
    </row>
    <row r="990" spans="12:14" x14ac:dyDescent="0.25">
      <c r="L990" s="19" t="str">
        <f t="shared" ca="1" si="38"/>
        <v/>
      </c>
      <c r="M990" s="19" t="str">
        <f t="shared" si="39"/>
        <v/>
      </c>
      <c r="N990" s="19" t="s">
        <v>363</v>
      </c>
    </row>
    <row r="991" spans="12:14" x14ac:dyDescent="0.25">
      <c r="L991" s="19" t="str">
        <f t="shared" ca="1" si="38"/>
        <v/>
      </c>
      <c r="M991" s="19" t="str">
        <f t="shared" si="39"/>
        <v/>
      </c>
      <c r="N991" s="19" t="s">
        <v>363</v>
      </c>
    </row>
    <row r="992" spans="12:14" x14ac:dyDescent="0.25">
      <c r="L992" s="19" t="str">
        <f t="shared" ca="1" si="38"/>
        <v/>
      </c>
      <c r="M992" s="19" t="str">
        <f t="shared" si="39"/>
        <v/>
      </c>
      <c r="N992" s="19" t="s">
        <v>363</v>
      </c>
    </row>
    <row r="993" spans="12:14" x14ac:dyDescent="0.25">
      <c r="L993" s="19" t="str">
        <f t="shared" ca="1" si="38"/>
        <v/>
      </c>
      <c r="M993" s="19" t="str">
        <f t="shared" si="39"/>
        <v/>
      </c>
      <c r="N993" s="19" t="s">
        <v>363</v>
      </c>
    </row>
    <row r="994" spans="12:14" x14ac:dyDescent="0.25">
      <c r="L994" s="19" t="str">
        <f t="shared" ca="1" si="38"/>
        <v/>
      </c>
      <c r="M994" s="19" t="str">
        <f t="shared" si="39"/>
        <v/>
      </c>
      <c r="N994" s="19" t="s">
        <v>363</v>
      </c>
    </row>
    <row r="995" spans="12:14" x14ac:dyDescent="0.25">
      <c r="L995" s="19" t="str">
        <f t="shared" ca="1" si="38"/>
        <v/>
      </c>
      <c r="M995" s="19" t="str">
        <f t="shared" si="39"/>
        <v/>
      </c>
      <c r="N995" s="19" t="s">
        <v>363</v>
      </c>
    </row>
    <row r="996" spans="12:14" x14ac:dyDescent="0.25">
      <c r="L996" s="19" t="str">
        <f t="shared" ca="1" si="38"/>
        <v/>
      </c>
      <c r="M996" s="19" t="str">
        <f t="shared" si="39"/>
        <v/>
      </c>
      <c r="N996" s="19" t="s">
        <v>363</v>
      </c>
    </row>
    <row r="997" spans="12:14" x14ac:dyDescent="0.25">
      <c r="L997" s="19" t="str">
        <f t="shared" ca="1" si="38"/>
        <v/>
      </c>
      <c r="M997" s="19" t="str">
        <f t="shared" si="39"/>
        <v/>
      </c>
      <c r="N997" s="19" t="s">
        <v>363</v>
      </c>
    </row>
    <row r="998" spans="12:14" x14ac:dyDescent="0.25">
      <c r="L998" s="19" t="str">
        <f t="shared" ca="1" si="38"/>
        <v/>
      </c>
      <c r="M998" s="19" t="str">
        <f t="shared" si="39"/>
        <v/>
      </c>
      <c r="N998" s="19" t="s">
        <v>363</v>
      </c>
    </row>
    <row r="999" spans="12:14" x14ac:dyDescent="0.25">
      <c r="L999" s="19" t="str">
        <f t="shared" ca="1" si="38"/>
        <v/>
      </c>
      <c r="M999" s="19" t="str">
        <f t="shared" si="39"/>
        <v/>
      </c>
      <c r="N999" s="19" t="s">
        <v>363</v>
      </c>
    </row>
    <row r="1000" spans="12:14" x14ac:dyDescent="0.25">
      <c r="M1000" s="19" t="str">
        <f t="shared" si="39"/>
        <v/>
      </c>
      <c r="N1000" s="19" t="s">
        <v>363</v>
      </c>
    </row>
    <row r="1001" spans="12:14" x14ac:dyDescent="0.25">
      <c r="M1001" s="19" t="str">
        <f t="shared" si="39"/>
        <v/>
      </c>
      <c r="N1001" s="19" t="s">
        <v>363</v>
      </c>
    </row>
    <row r="1002" spans="12:14" x14ac:dyDescent="0.25">
      <c r="M1002" s="19" t="str">
        <f t="shared" si="39"/>
        <v/>
      </c>
      <c r="N1002" s="19" t="s">
        <v>363</v>
      </c>
    </row>
    <row r="1003" spans="12:14" x14ac:dyDescent="0.25">
      <c r="M1003" s="19" t="str">
        <f t="shared" si="39"/>
        <v/>
      </c>
      <c r="N1003" s="19" t="s">
        <v>363</v>
      </c>
    </row>
    <row r="1004" spans="12:14" x14ac:dyDescent="0.25">
      <c r="M1004" s="19" t="str">
        <f t="shared" si="39"/>
        <v/>
      </c>
      <c r="N1004" s="19" t="s">
        <v>363</v>
      </c>
    </row>
    <row r="1005" spans="12:14" x14ac:dyDescent="0.25">
      <c r="M1005" s="19" t="str">
        <f t="shared" si="39"/>
        <v/>
      </c>
      <c r="N1005" s="19" t="s">
        <v>363</v>
      </c>
    </row>
    <row r="1006" spans="12:14" x14ac:dyDescent="0.25">
      <c r="M1006" s="19" t="str">
        <f t="shared" si="39"/>
        <v/>
      </c>
      <c r="N1006" s="19" t="s">
        <v>363</v>
      </c>
    </row>
    <row r="1007" spans="12:14" x14ac:dyDescent="0.25">
      <c r="M1007" s="19" t="str">
        <f t="shared" si="39"/>
        <v/>
      </c>
      <c r="N1007" s="19" t="s">
        <v>363</v>
      </c>
    </row>
    <row r="1008" spans="12:14" x14ac:dyDescent="0.25">
      <c r="M1008" s="19" t="str">
        <f t="shared" si="39"/>
        <v/>
      </c>
      <c r="N1008" s="19" t="s">
        <v>363</v>
      </c>
    </row>
    <row r="1009" spans="13:14" x14ac:dyDescent="0.25">
      <c r="M1009" s="19" t="str">
        <f t="shared" si="39"/>
        <v/>
      </c>
      <c r="N1009" s="19" t="s">
        <v>363</v>
      </c>
    </row>
    <row r="1010" spans="13:14" x14ac:dyDescent="0.25">
      <c r="M1010" s="19" t="str">
        <f t="shared" si="39"/>
        <v/>
      </c>
      <c r="N1010" s="19" t="s">
        <v>363</v>
      </c>
    </row>
    <row r="1011" spans="13:14" x14ac:dyDescent="0.25">
      <c r="M1011" s="19" t="str">
        <f t="shared" si="39"/>
        <v/>
      </c>
      <c r="N1011" s="19" t="s">
        <v>363</v>
      </c>
    </row>
    <row r="1012" spans="13:14" x14ac:dyDescent="0.25">
      <c r="M1012" s="19" t="str">
        <f t="shared" si="39"/>
        <v/>
      </c>
      <c r="N1012" s="19" t="s">
        <v>363</v>
      </c>
    </row>
    <row r="1013" spans="13:14" x14ac:dyDescent="0.25">
      <c r="M1013" s="19" t="str">
        <f t="shared" si="39"/>
        <v/>
      </c>
      <c r="N1013" s="19" t="s">
        <v>363</v>
      </c>
    </row>
    <row r="1014" spans="13:14" x14ac:dyDescent="0.25">
      <c r="M1014" s="19" t="str">
        <f t="shared" si="39"/>
        <v/>
      </c>
      <c r="N1014" s="19" t="s">
        <v>363</v>
      </c>
    </row>
    <row r="1015" spans="13:14" x14ac:dyDescent="0.25">
      <c r="M1015" s="19" t="str">
        <f t="shared" si="39"/>
        <v/>
      </c>
      <c r="N1015" s="19" t="s">
        <v>363</v>
      </c>
    </row>
    <row r="1016" spans="13:14" x14ac:dyDescent="0.25">
      <c r="M1016" s="19" t="str">
        <f t="shared" si="39"/>
        <v/>
      </c>
      <c r="N1016" s="19" t="s">
        <v>363</v>
      </c>
    </row>
    <row r="1017" spans="13:14" x14ac:dyDescent="0.25">
      <c r="M1017" s="19" t="str">
        <f t="shared" si="39"/>
        <v/>
      </c>
      <c r="N1017" s="19" t="s">
        <v>363</v>
      </c>
    </row>
    <row r="1018" spans="13:14" x14ac:dyDescent="0.25">
      <c r="M1018" s="19" t="str">
        <f t="shared" si="39"/>
        <v/>
      </c>
      <c r="N1018" s="19" t="s">
        <v>363</v>
      </c>
    </row>
    <row r="1019" spans="13:14" x14ac:dyDescent="0.25">
      <c r="M1019" s="19" t="str">
        <f t="shared" si="39"/>
        <v/>
      </c>
      <c r="N1019" s="19" t="s">
        <v>363</v>
      </c>
    </row>
    <row r="1020" spans="13:14" x14ac:dyDescent="0.25">
      <c r="M1020" s="19" t="str">
        <f t="shared" si="39"/>
        <v/>
      </c>
      <c r="N1020" s="19" t="s">
        <v>363</v>
      </c>
    </row>
    <row r="1021" spans="13:14" x14ac:dyDescent="0.25">
      <c r="M1021" s="19" t="str">
        <f t="shared" si="39"/>
        <v/>
      </c>
      <c r="N1021" s="19" t="s">
        <v>363</v>
      </c>
    </row>
    <row r="1022" spans="13:14" x14ac:dyDescent="0.25">
      <c r="M1022" s="19" t="str">
        <f t="shared" si="39"/>
        <v/>
      </c>
      <c r="N1022" s="19" t="s">
        <v>363</v>
      </c>
    </row>
    <row r="1023" spans="13:14" x14ac:dyDescent="0.25">
      <c r="M1023" s="19" t="str">
        <f t="shared" si="39"/>
        <v/>
      </c>
      <c r="N1023" s="19" t="s">
        <v>363</v>
      </c>
    </row>
    <row r="1024" spans="13:14" x14ac:dyDescent="0.25">
      <c r="M1024" s="19" t="str">
        <f t="shared" si="39"/>
        <v/>
      </c>
      <c r="N1024" s="19" t="s">
        <v>363</v>
      </c>
    </row>
    <row r="1025" spans="13:14" x14ac:dyDescent="0.25">
      <c r="M1025" s="19" t="str">
        <f t="shared" si="39"/>
        <v/>
      </c>
      <c r="N1025" s="19" t="s">
        <v>363</v>
      </c>
    </row>
    <row r="1026" spans="13:14" x14ac:dyDescent="0.25">
      <c r="M1026" s="19" t="str">
        <f t="shared" ref="M1026:M1089" si="40">IF(A1026="","",IF(L1026&lt;8,"calibracion","validacion"))</f>
        <v/>
      </c>
      <c r="N1026" s="19" t="s">
        <v>363</v>
      </c>
    </row>
    <row r="1027" spans="13:14" x14ac:dyDescent="0.25">
      <c r="M1027" s="19" t="str">
        <f t="shared" si="40"/>
        <v/>
      </c>
      <c r="N1027" s="19" t="s">
        <v>363</v>
      </c>
    </row>
    <row r="1028" spans="13:14" x14ac:dyDescent="0.25">
      <c r="M1028" s="19" t="str">
        <f t="shared" si="40"/>
        <v/>
      </c>
      <c r="N1028" s="19" t="s">
        <v>363</v>
      </c>
    </row>
    <row r="1029" spans="13:14" x14ac:dyDescent="0.25">
      <c r="M1029" s="19" t="str">
        <f t="shared" si="40"/>
        <v/>
      </c>
      <c r="N1029" s="19" t="s">
        <v>363</v>
      </c>
    </row>
    <row r="1030" spans="13:14" x14ac:dyDescent="0.25">
      <c r="M1030" s="19" t="str">
        <f t="shared" si="40"/>
        <v/>
      </c>
      <c r="N1030" s="19" t="s">
        <v>363</v>
      </c>
    </row>
    <row r="1031" spans="13:14" x14ac:dyDescent="0.25">
      <c r="M1031" s="19" t="str">
        <f t="shared" si="40"/>
        <v/>
      </c>
      <c r="N1031" s="19" t="s">
        <v>363</v>
      </c>
    </row>
    <row r="1032" spans="13:14" x14ac:dyDescent="0.25">
      <c r="M1032" s="19" t="str">
        <f t="shared" si="40"/>
        <v/>
      </c>
      <c r="N1032" s="19" t="s">
        <v>363</v>
      </c>
    </row>
    <row r="1033" spans="13:14" x14ac:dyDescent="0.25">
      <c r="M1033" s="19" t="str">
        <f t="shared" si="40"/>
        <v/>
      </c>
      <c r="N1033" s="19" t="s">
        <v>363</v>
      </c>
    </row>
    <row r="1034" spans="13:14" x14ac:dyDescent="0.25">
      <c r="M1034" s="19" t="str">
        <f t="shared" si="40"/>
        <v/>
      </c>
      <c r="N1034" s="19" t="s">
        <v>363</v>
      </c>
    </row>
    <row r="1035" spans="13:14" x14ac:dyDescent="0.25">
      <c r="M1035" s="19" t="str">
        <f t="shared" si="40"/>
        <v/>
      </c>
      <c r="N1035" s="19" t="s">
        <v>363</v>
      </c>
    </row>
    <row r="1036" spans="13:14" x14ac:dyDescent="0.25">
      <c r="M1036" s="19" t="str">
        <f t="shared" si="40"/>
        <v/>
      </c>
      <c r="N1036" s="19" t="s">
        <v>363</v>
      </c>
    </row>
    <row r="1037" spans="13:14" x14ac:dyDescent="0.25">
      <c r="M1037" s="19" t="str">
        <f t="shared" si="40"/>
        <v/>
      </c>
      <c r="N1037" s="19" t="s">
        <v>363</v>
      </c>
    </row>
    <row r="1038" spans="13:14" x14ac:dyDescent="0.25">
      <c r="M1038" s="19" t="str">
        <f t="shared" si="40"/>
        <v/>
      </c>
      <c r="N1038" s="19" t="s">
        <v>363</v>
      </c>
    </row>
    <row r="1039" spans="13:14" x14ac:dyDescent="0.25">
      <c r="M1039" s="19" t="str">
        <f t="shared" si="40"/>
        <v/>
      </c>
      <c r="N1039" s="19" t="s">
        <v>363</v>
      </c>
    </row>
    <row r="1040" spans="13:14" x14ac:dyDescent="0.25">
      <c r="M1040" s="19" t="str">
        <f t="shared" si="40"/>
        <v/>
      </c>
      <c r="N1040" s="19" t="s">
        <v>363</v>
      </c>
    </row>
    <row r="1041" spans="13:14" x14ac:dyDescent="0.25">
      <c r="M1041" s="19" t="str">
        <f t="shared" si="40"/>
        <v/>
      </c>
      <c r="N1041" s="19" t="s">
        <v>363</v>
      </c>
    </row>
    <row r="1042" spans="13:14" x14ac:dyDescent="0.25">
      <c r="M1042" s="19" t="str">
        <f t="shared" si="40"/>
        <v/>
      </c>
      <c r="N1042" s="19" t="s">
        <v>363</v>
      </c>
    </row>
    <row r="1043" spans="13:14" x14ac:dyDescent="0.25">
      <c r="M1043" s="19" t="str">
        <f t="shared" si="40"/>
        <v/>
      </c>
      <c r="N1043" s="19" t="s">
        <v>363</v>
      </c>
    </row>
    <row r="1044" spans="13:14" x14ac:dyDescent="0.25">
      <c r="M1044" s="19" t="str">
        <f t="shared" si="40"/>
        <v/>
      </c>
      <c r="N1044" s="19" t="s">
        <v>363</v>
      </c>
    </row>
    <row r="1045" spans="13:14" x14ac:dyDescent="0.25">
      <c r="M1045" s="19" t="str">
        <f t="shared" si="40"/>
        <v/>
      </c>
      <c r="N1045" s="19" t="s">
        <v>363</v>
      </c>
    </row>
    <row r="1046" spans="13:14" x14ac:dyDescent="0.25">
      <c r="M1046" s="19" t="str">
        <f t="shared" si="40"/>
        <v/>
      </c>
      <c r="N1046" s="19" t="s">
        <v>363</v>
      </c>
    </row>
    <row r="1047" spans="13:14" x14ac:dyDescent="0.25">
      <c r="M1047" s="19" t="str">
        <f t="shared" si="40"/>
        <v/>
      </c>
      <c r="N1047" s="19" t="s">
        <v>363</v>
      </c>
    </row>
    <row r="1048" spans="13:14" x14ac:dyDescent="0.25">
      <c r="M1048" s="19" t="str">
        <f t="shared" si="40"/>
        <v/>
      </c>
      <c r="N1048" s="19" t="s">
        <v>363</v>
      </c>
    </row>
    <row r="1049" spans="13:14" x14ac:dyDescent="0.25">
      <c r="M1049" s="19" t="str">
        <f t="shared" si="40"/>
        <v/>
      </c>
      <c r="N1049" s="19" t="s">
        <v>363</v>
      </c>
    </row>
    <row r="1050" spans="13:14" x14ac:dyDescent="0.25">
      <c r="M1050" s="19" t="str">
        <f t="shared" si="40"/>
        <v/>
      </c>
      <c r="N1050" s="19" t="s">
        <v>363</v>
      </c>
    </row>
    <row r="1051" spans="13:14" x14ac:dyDescent="0.25">
      <c r="M1051" s="19" t="str">
        <f t="shared" si="40"/>
        <v/>
      </c>
      <c r="N1051" s="19" t="s">
        <v>363</v>
      </c>
    </row>
    <row r="1052" spans="13:14" x14ac:dyDescent="0.25">
      <c r="M1052" s="19" t="str">
        <f t="shared" si="40"/>
        <v/>
      </c>
      <c r="N1052" s="19" t="s">
        <v>363</v>
      </c>
    </row>
    <row r="1053" spans="13:14" x14ac:dyDescent="0.25">
      <c r="M1053" s="19" t="str">
        <f t="shared" si="40"/>
        <v/>
      </c>
      <c r="N1053" s="19" t="s">
        <v>363</v>
      </c>
    </row>
    <row r="1054" spans="13:14" x14ac:dyDescent="0.25">
      <c r="M1054" s="19" t="str">
        <f t="shared" si="40"/>
        <v/>
      </c>
      <c r="N1054" s="19" t="s">
        <v>363</v>
      </c>
    </row>
    <row r="1055" spans="13:14" x14ac:dyDescent="0.25">
      <c r="M1055" s="19" t="str">
        <f t="shared" si="40"/>
        <v/>
      </c>
      <c r="N1055" s="19" t="s">
        <v>363</v>
      </c>
    </row>
    <row r="1056" spans="13:14" x14ac:dyDescent="0.25">
      <c r="M1056" s="19" t="str">
        <f t="shared" si="40"/>
        <v/>
      </c>
      <c r="N1056" s="19" t="s">
        <v>363</v>
      </c>
    </row>
    <row r="1057" spans="13:14" x14ac:dyDescent="0.25">
      <c r="M1057" s="19" t="str">
        <f t="shared" si="40"/>
        <v/>
      </c>
      <c r="N1057" s="19" t="s">
        <v>363</v>
      </c>
    </row>
    <row r="1058" spans="13:14" x14ac:dyDescent="0.25">
      <c r="M1058" s="19" t="str">
        <f t="shared" si="40"/>
        <v/>
      </c>
      <c r="N1058" s="19" t="s">
        <v>363</v>
      </c>
    </row>
    <row r="1059" spans="13:14" x14ac:dyDescent="0.25">
      <c r="M1059" s="19" t="str">
        <f t="shared" si="40"/>
        <v/>
      </c>
      <c r="N1059" s="19" t="s">
        <v>363</v>
      </c>
    </row>
    <row r="1060" spans="13:14" x14ac:dyDescent="0.25">
      <c r="M1060" s="19" t="str">
        <f t="shared" si="40"/>
        <v/>
      </c>
      <c r="N1060" s="19" t="s">
        <v>363</v>
      </c>
    </row>
    <row r="1061" spans="13:14" x14ac:dyDescent="0.25">
      <c r="M1061" s="19" t="str">
        <f t="shared" si="40"/>
        <v/>
      </c>
      <c r="N1061" s="19" t="s">
        <v>363</v>
      </c>
    </row>
    <row r="1062" spans="13:14" x14ac:dyDescent="0.25">
      <c r="M1062" s="19" t="str">
        <f t="shared" si="40"/>
        <v/>
      </c>
      <c r="N1062" s="19" t="s">
        <v>363</v>
      </c>
    </row>
    <row r="1063" spans="13:14" x14ac:dyDescent="0.25">
      <c r="M1063" s="19" t="str">
        <f t="shared" si="40"/>
        <v/>
      </c>
      <c r="N1063" s="19" t="s">
        <v>363</v>
      </c>
    </row>
    <row r="1064" spans="13:14" x14ac:dyDescent="0.25">
      <c r="M1064" s="19" t="str">
        <f t="shared" si="40"/>
        <v/>
      </c>
      <c r="N1064" s="19" t="s">
        <v>363</v>
      </c>
    </row>
    <row r="1065" spans="13:14" x14ac:dyDescent="0.25">
      <c r="M1065" s="19" t="str">
        <f t="shared" si="40"/>
        <v/>
      </c>
      <c r="N1065" s="19" t="s">
        <v>363</v>
      </c>
    </row>
    <row r="1066" spans="13:14" x14ac:dyDescent="0.25">
      <c r="M1066" s="19" t="str">
        <f t="shared" si="40"/>
        <v/>
      </c>
      <c r="N1066" s="19" t="s">
        <v>363</v>
      </c>
    </row>
    <row r="1067" spans="13:14" x14ac:dyDescent="0.25">
      <c r="M1067" s="19" t="str">
        <f t="shared" si="40"/>
        <v/>
      </c>
      <c r="N1067" s="19" t="s">
        <v>363</v>
      </c>
    </row>
    <row r="1068" spans="13:14" x14ac:dyDescent="0.25">
      <c r="M1068" s="19" t="str">
        <f t="shared" si="40"/>
        <v/>
      </c>
      <c r="N1068" s="19" t="s">
        <v>363</v>
      </c>
    </row>
    <row r="1069" spans="13:14" x14ac:dyDescent="0.25">
      <c r="M1069" s="19" t="str">
        <f t="shared" si="40"/>
        <v/>
      </c>
      <c r="N1069" s="19" t="s">
        <v>363</v>
      </c>
    </row>
    <row r="1070" spans="13:14" x14ac:dyDescent="0.25">
      <c r="M1070" s="19" t="str">
        <f t="shared" si="40"/>
        <v/>
      </c>
      <c r="N1070" s="19" t="s">
        <v>363</v>
      </c>
    </row>
    <row r="1071" spans="13:14" x14ac:dyDescent="0.25">
      <c r="M1071" s="19" t="str">
        <f t="shared" si="40"/>
        <v/>
      </c>
      <c r="N1071" s="19" t="s">
        <v>363</v>
      </c>
    </row>
    <row r="1072" spans="13:14" x14ac:dyDescent="0.25">
      <c r="M1072" s="19" t="str">
        <f t="shared" si="40"/>
        <v/>
      </c>
      <c r="N1072" s="19" t="s">
        <v>363</v>
      </c>
    </row>
    <row r="1073" spans="13:14" x14ac:dyDescent="0.25">
      <c r="M1073" s="19" t="str">
        <f t="shared" si="40"/>
        <v/>
      </c>
      <c r="N1073" s="19" t="s">
        <v>363</v>
      </c>
    </row>
    <row r="1074" spans="13:14" x14ac:dyDescent="0.25">
      <c r="M1074" s="19" t="str">
        <f t="shared" si="40"/>
        <v/>
      </c>
      <c r="N1074" s="19" t="s">
        <v>363</v>
      </c>
    </row>
    <row r="1075" spans="13:14" x14ac:dyDescent="0.25">
      <c r="M1075" s="19" t="str">
        <f t="shared" si="40"/>
        <v/>
      </c>
      <c r="N1075" s="19" t="s">
        <v>363</v>
      </c>
    </row>
    <row r="1076" spans="13:14" x14ac:dyDescent="0.25">
      <c r="M1076" s="19" t="str">
        <f t="shared" si="40"/>
        <v/>
      </c>
      <c r="N1076" s="19" t="s">
        <v>363</v>
      </c>
    </row>
    <row r="1077" spans="13:14" x14ac:dyDescent="0.25">
      <c r="M1077" s="19" t="str">
        <f t="shared" si="40"/>
        <v/>
      </c>
      <c r="N1077" s="19" t="s">
        <v>363</v>
      </c>
    </row>
    <row r="1078" spans="13:14" x14ac:dyDescent="0.25">
      <c r="M1078" s="19" t="str">
        <f t="shared" si="40"/>
        <v/>
      </c>
      <c r="N1078" s="19" t="s">
        <v>363</v>
      </c>
    </row>
    <row r="1079" spans="13:14" x14ac:dyDescent="0.25">
      <c r="M1079" s="19" t="str">
        <f t="shared" si="40"/>
        <v/>
      </c>
      <c r="N1079" s="19" t="s">
        <v>363</v>
      </c>
    </row>
    <row r="1080" spans="13:14" x14ac:dyDescent="0.25">
      <c r="M1080" s="19" t="str">
        <f t="shared" si="40"/>
        <v/>
      </c>
      <c r="N1080" s="19" t="s">
        <v>363</v>
      </c>
    </row>
    <row r="1081" spans="13:14" x14ac:dyDescent="0.25">
      <c r="M1081" s="19" t="str">
        <f t="shared" si="40"/>
        <v/>
      </c>
      <c r="N1081" s="19" t="s">
        <v>363</v>
      </c>
    </row>
    <row r="1082" spans="13:14" x14ac:dyDescent="0.25">
      <c r="M1082" s="19" t="str">
        <f t="shared" si="40"/>
        <v/>
      </c>
      <c r="N1082" s="19" t="s">
        <v>363</v>
      </c>
    </row>
    <row r="1083" spans="13:14" x14ac:dyDescent="0.25">
      <c r="M1083" s="19" t="str">
        <f t="shared" si="40"/>
        <v/>
      </c>
      <c r="N1083" s="19" t="s">
        <v>363</v>
      </c>
    </row>
    <row r="1084" spans="13:14" x14ac:dyDescent="0.25">
      <c r="M1084" s="19" t="str">
        <f t="shared" si="40"/>
        <v/>
      </c>
      <c r="N1084" s="19" t="s">
        <v>363</v>
      </c>
    </row>
    <row r="1085" spans="13:14" x14ac:dyDescent="0.25">
      <c r="M1085" s="19" t="str">
        <f t="shared" si="40"/>
        <v/>
      </c>
      <c r="N1085" s="19" t="s">
        <v>363</v>
      </c>
    </row>
    <row r="1086" spans="13:14" x14ac:dyDescent="0.25">
      <c r="M1086" s="19" t="str">
        <f t="shared" si="40"/>
        <v/>
      </c>
      <c r="N1086" s="19" t="s">
        <v>363</v>
      </c>
    </row>
    <row r="1087" spans="13:14" x14ac:dyDescent="0.25">
      <c r="M1087" s="19" t="str">
        <f t="shared" si="40"/>
        <v/>
      </c>
      <c r="N1087" s="19" t="s">
        <v>363</v>
      </c>
    </row>
    <row r="1088" spans="13:14" x14ac:dyDescent="0.25">
      <c r="M1088" s="19" t="str">
        <f t="shared" si="40"/>
        <v/>
      </c>
      <c r="N1088" s="19" t="s">
        <v>363</v>
      </c>
    </row>
    <row r="1089" spans="13:14" x14ac:dyDescent="0.25">
      <c r="M1089" s="19" t="str">
        <f t="shared" si="40"/>
        <v/>
      </c>
      <c r="N1089" s="19" t="s">
        <v>363</v>
      </c>
    </row>
    <row r="1090" spans="13:14" x14ac:dyDescent="0.25">
      <c r="M1090" s="19" t="str">
        <f t="shared" ref="M1090:M1153" si="41">IF(A1090="","",IF(L1090&lt;8,"calibracion","validacion"))</f>
        <v/>
      </c>
      <c r="N1090" s="19" t="s">
        <v>363</v>
      </c>
    </row>
    <row r="1091" spans="13:14" x14ac:dyDescent="0.25">
      <c r="M1091" s="19" t="str">
        <f t="shared" si="41"/>
        <v/>
      </c>
      <c r="N1091" s="19" t="s">
        <v>363</v>
      </c>
    </row>
    <row r="1092" spans="13:14" x14ac:dyDescent="0.25">
      <c r="M1092" s="19" t="str">
        <f t="shared" si="41"/>
        <v/>
      </c>
      <c r="N1092" s="19" t="s">
        <v>363</v>
      </c>
    </row>
    <row r="1093" spans="13:14" x14ac:dyDescent="0.25">
      <c r="M1093" s="19" t="str">
        <f t="shared" si="41"/>
        <v/>
      </c>
      <c r="N1093" s="19" t="s">
        <v>363</v>
      </c>
    </row>
    <row r="1094" spans="13:14" x14ac:dyDescent="0.25">
      <c r="M1094" s="19" t="str">
        <f t="shared" si="41"/>
        <v/>
      </c>
      <c r="N1094" s="19" t="s">
        <v>363</v>
      </c>
    </row>
    <row r="1095" spans="13:14" x14ac:dyDescent="0.25">
      <c r="M1095" s="19" t="str">
        <f t="shared" si="41"/>
        <v/>
      </c>
      <c r="N1095" s="19" t="s">
        <v>363</v>
      </c>
    </row>
    <row r="1096" spans="13:14" x14ac:dyDescent="0.25">
      <c r="M1096" s="19" t="str">
        <f t="shared" si="41"/>
        <v/>
      </c>
      <c r="N1096" s="19" t="s">
        <v>363</v>
      </c>
    </row>
    <row r="1097" spans="13:14" x14ac:dyDescent="0.25">
      <c r="M1097" s="19" t="str">
        <f t="shared" si="41"/>
        <v/>
      </c>
      <c r="N1097" s="19" t="s">
        <v>363</v>
      </c>
    </row>
    <row r="1098" spans="13:14" x14ac:dyDescent="0.25">
      <c r="M1098" s="19" t="str">
        <f t="shared" si="41"/>
        <v/>
      </c>
      <c r="N1098" s="19" t="s">
        <v>363</v>
      </c>
    </row>
    <row r="1099" spans="13:14" x14ac:dyDescent="0.25">
      <c r="M1099" s="19" t="str">
        <f t="shared" si="41"/>
        <v/>
      </c>
      <c r="N1099" s="19" t="s">
        <v>363</v>
      </c>
    </row>
    <row r="1100" spans="13:14" x14ac:dyDescent="0.25">
      <c r="M1100" s="19" t="str">
        <f t="shared" si="41"/>
        <v/>
      </c>
      <c r="N1100" s="19" t="s">
        <v>363</v>
      </c>
    </row>
    <row r="1101" spans="13:14" x14ac:dyDescent="0.25">
      <c r="M1101" s="19" t="str">
        <f t="shared" si="41"/>
        <v/>
      </c>
      <c r="N1101" s="19" t="s">
        <v>363</v>
      </c>
    </row>
    <row r="1102" spans="13:14" x14ac:dyDescent="0.25">
      <c r="M1102" s="19" t="str">
        <f t="shared" si="41"/>
        <v/>
      </c>
      <c r="N1102" s="19" t="s">
        <v>363</v>
      </c>
    </row>
    <row r="1103" spans="13:14" x14ac:dyDescent="0.25">
      <c r="M1103" s="19" t="str">
        <f t="shared" si="41"/>
        <v/>
      </c>
      <c r="N1103" s="19" t="s">
        <v>363</v>
      </c>
    </row>
    <row r="1104" spans="13:14" x14ac:dyDescent="0.25">
      <c r="M1104" s="19" t="str">
        <f t="shared" si="41"/>
        <v/>
      </c>
      <c r="N1104" s="19" t="s">
        <v>363</v>
      </c>
    </row>
    <row r="1105" spans="13:14" x14ac:dyDescent="0.25">
      <c r="M1105" s="19" t="str">
        <f t="shared" si="41"/>
        <v/>
      </c>
      <c r="N1105" s="19" t="s">
        <v>363</v>
      </c>
    </row>
    <row r="1106" spans="13:14" x14ac:dyDescent="0.25">
      <c r="M1106" s="19" t="str">
        <f t="shared" si="41"/>
        <v/>
      </c>
      <c r="N1106" s="19" t="s">
        <v>363</v>
      </c>
    </row>
    <row r="1107" spans="13:14" x14ac:dyDescent="0.25">
      <c r="M1107" s="19" t="str">
        <f t="shared" si="41"/>
        <v/>
      </c>
      <c r="N1107" s="19" t="s">
        <v>363</v>
      </c>
    </row>
    <row r="1108" spans="13:14" x14ac:dyDescent="0.25">
      <c r="M1108" s="19" t="str">
        <f t="shared" si="41"/>
        <v/>
      </c>
      <c r="N1108" s="19" t="s">
        <v>363</v>
      </c>
    </row>
    <row r="1109" spans="13:14" x14ac:dyDescent="0.25">
      <c r="M1109" s="19" t="str">
        <f t="shared" si="41"/>
        <v/>
      </c>
      <c r="N1109" s="19" t="s">
        <v>363</v>
      </c>
    </row>
    <row r="1110" spans="13:14" x14ac:dyDescent="0.25">
      <c r="M1110" s="19" t="str">
        <f t="shared" si="41"/>
        <v/>
      </c>
      <c r="N1110" s="19" t="s">
        <v>363</v>
      </c>
    </row>
    <row r="1111" spans="13:14" x14ac:dyDescent="0.25">
      <c r="M1111" s="19" t="str">
        <f t="shared" si="41"/>
        <v/>
      </c>
      <c r="N1111" s="19" t="s">
        <v>363</v>
      </c>
    </row>
    <row r="1112" spans="13:14" x14ac:dyDescent="0.25">
      <c r="M1112" s="19" t="str">
        <f t="shared" si="41"/>
        <v/>
      </c>
      <c r="N1112" s="19" t="s">
        <v>363</v>
      </c>
    </row>
    <row r="1113" spans="13:14" x14ac:dyDescent="0.25">
      <c r="M1113" s="19" t="str">
        <f t="shared" si="41"/>
        <v/>
      </c>
      <c r="N1113" s="19" t="s">
        <v>363</v>
      </c>
    </row>
    <row r="1114" spans="13:14" x14ac:dyDescent="0.25">
      <c r="M1114" s="19" t="str">
        <f t="shared" si="41"/>
        <v/>
      </c>
      <c r="N1114" s="19" t="s">
        <v>363</v>
      </c>
    </row>
    <row r="1115" spans="13:14" x14ac:dyDescent="0.25">
      <c r="M1115" s="19" t="str">
        <f t="shared" si="41"/>
        <v/>
      </c>
      <c r="N1115" s="19" t="s">
        <v>363</v>
      </c>
    </row>
    <row r="1116" spans="13:14" x14ac:dyDescent="0.25">
      <c r="M1116" s="19" t="str">
        <f t="shared" si="41"/>
        <v/>
      </c>
      <c r="N1116" s="19" t="s">
        <v>363</v>
      </c>
    </row>
    <row r="1117" spans="13:14" x14ac:dyDescent="0.25">
      <c r="M1117" s="19" t="str">
        <f t="shared" si="41"/>
        <v/>
      </c>
      <c r="N1117" s="19" t="s">
        <v>363</v>
      </c>
    </row>
    <row r="1118" spans="13:14" x14ac:dyDescent="0.25">
      <c r="M1118" s="19" t="str">
        <f t="shared" si="41"/>
        <v/>
      </c>
      <c r="N1118" s="19" t="s">
        <v>363</v>
      </c>
    </row>
    <row r="1119" spans="13:14" x14ac:dyDescent="0.25">
      <c r="M1119" s="19" t="str">
        <f t="shared" si="41"/>
        <v/>
      </c>
      <c r="N1119" s="19" t="s">
        <v>363</v>
      </c>
    </row>
    <row r="1120" spans="13:14" x14ac:dyDescent="0.25">
      <c r="M1120" s="19" t="str">
        <f t="shared" si="41"/>
        <v/>
      </c>
      <c r="N1120" s="19" t="s">
        <v>363</v>
      </c>
    </row>
    <row r="1121" spans="13:14" x14ac:dyDescent="0.25">
      <c r="M1121" s="19" t="str">
        <f t="shared" si="41"/>
        <v/>
      </c>
      <c r="N1121" s="19" t="s">
        <v>363</v>
      </c>
    </row>
    <row r="1122" spans="13:14" x14ac:dyDescent="0.25">
      <c r="M1122" s="19" t="str">
        <f t="shared" si="41"/>
        <v/>
      </c>
      <c r="N1122" s="19" t="s">
        <v>363</v>
      </c>
    </row>
    <row r="1123" spans="13:14" x14ac:dyDescent="0.25">
      <c r="M1123" s="19" t="str">
        <f t="shared" si="41"/>
        <v/>
      </c>
      <c r="N1123" s="19" t="s">
        <v>363</v>
      </c>
    </row>
    <row r="1124" spans="13:14" x14ac:dyDescent="0.25">
      <c r="M1124" s="19" t="str">
        <f t="shared" si="41"/>
        <v/>
      </c>
      <c r="N1124" s="19" t="s">
        <v>363</v>
      </c>
    </row>
    <row r="1125" spans="13:14" x14ac:dyDescent="0.25">
      <c r="M1125" s="19" t="str">
        <f t="shared" si="41"/>
        <v/>
      </c>
      <c r="N1125" s="19" t="s">
        <v>363</v>
      </c>
    </row>
    <row r="1126" spans="13:14" x14ac:dyDescent="0.25">
      <c r="M1126" s="19" t="str">
        <f t="shared" si="41"/>
        <v/>
      </c>
      <c r="N1126" s="19" t="s">
        <v>363</v>
      </c>
    </row>
    <row r="1127" spans="13:14" x14ac:dyDescent="0.25">
      <c r="M1127" s="19" t="str">
        <f t="shared" si="41"/>
        <v/>
      </c>
      <c r="N1127" s="19" t="s">
        <v>363</v>
      </c>
    </row>
    <row r="1128" spans="13:14" x14ac:dyDescent="0.25">
      <c r="M1128" s="19" t="str">
        <f t="shared" si="41"/>
        <v/>
      </c>
      <c r="N1128" s="19" t="s">
        <v>363</v>
      </c>
    </row>
    <row r="1129" spans="13:14" x14ac:dyDescent="0.25">
      <c r="M1129" s="19" t="str">
        <f t="shared" si="41"/>
        <v/>
      </c>
      <c r="N1129" s="19" t="s">
        <v>363</v>
      </c>
    </row>
    <row r="1130" spans="13:14" x14ac:dyDescent="0.25">
      <c r="M1130" s="19" t="str">
        <f t="shared" si="41"/>
        <v/>
      </c>
      <c r="N1130" s="19" t="s">
        <v>363</v>
      </c>
    </row>
    <row r="1131" spans="13:14" x14ac:dyDescent="0.25">
      <c r="M1131" s="19" t="str">
        <f t="shared" si="41"/>
        <v/>
      </c>
      <c r="N1131" s="19" t="s">
        <v>363</v>
      </c>
    </row>
    <row r="1132" spans="13:14" x14ac:dyDescent="0.25">
      <c r="M1132" s="19" t="str">
        <f t="shared" si="41"/>
        <v/>
      </c>
      <c r="N1132" s="19" t="s">
        <v>363</v>
      </c>
    </row>
    <row r="1133" spans="13:14" x14ac:dyDescent="0.25">
      <c r="M1133" s="19" t="str">
        <f t="shared" si="41"/>
        <v/>
      </c>
      <c r="N1133" s="19" t="s">
        <v>363</v>
      </c>
    </row>
    <row r="1134" spans="13:14" x14ac:dyDescent="0.25">
      <c r="M1134" s="19" t="str">
        <f t="shared" si="41"/>
        <v/>
      </c>
      <c r="N1134" s="19" t="s">
        <v>363</v>
      </c>
    </row>
    <row r="1135" spans="13:14" x14ac:dyDescent="0.25">
      <c r="M1135" s="19" t="str">
        <f t="shared" si="41"/>
        <v/>
      </c>
      <c r="N1135" s="19" t="s">
        <v>363</v>
      </c>
    </row>
    <row r="1136" spans="13:14" x14ac:dyDescent="0.25">
      <c r="M1136" s="19" t="str">
        <f t="shared" si="41"/>
        <v/>
      </c>
      <c r="N1136" s="19" t="s">
        <v>363</v>
      </c>
    </row>
    <row r="1137" spans="13:14" x14ac:dyDescent="0.25">
      <c r="M1137" s="19" t="str">
        <f t="shared" si="41"/>
        <v/>
      </c>
      <c r="N1137" s="19" t="s">
        <v>363</v>
      </c>
    </row>
    <row r="1138" spans="13:14" x14ac:dyDescent="0.25">
      <c r="M1138" s="19" t="str">
        <f t="shared" si="41"/>
        <v/>
      </c>
      <c r="N1138" s="19" t="s">
        <v>363</v>
      </c>
    </row>
    <row r="1139" spans="13:14" x14ac:dyDescent="0.25">
      <c r="M1139" s="19" t="str">
        <f t="shared" si="41"/>
        <v/>
      </c>
      <c r="N1139" s="19" t="s">
        <v>363</v>
      </c>
    </row>
    <row r="1140" spans="13:14" x14ac:dyDescent="0.25">
      <c r="M1140" s="19" t="str">
        <f t="shared" si="41"/>
        <v/>
      </c>
      <c r="N1140" s="19" t="s">
        <v>363</v>
      </c>
    </row>
    <row r="1141" spans="13:14" x14ac:dyDescent="0.25">
      <c r="M1141" s="19" t="str">
        <f t="shared" si="41"/>
        <v/>
      </c>
      <c r="N1141" s="19" t="s">
        <v>363</v>
      </c>
    </row>
    <row r="1142" spans="13:14" x14ac:dyDescent="0.25">
      <c r="M1142" s="19" t="str">
        <f t="shared" si="41"/>
        <v/>
      </c>
      <c r="N1142" s="19" t="s">
        <v>363</v>
      </c>
    </row>
    <row r="1143" spans="13:14" x14ac:dyDescent="0.25">
      <c r="M1143" s="19" t="str">
        <f t="shared" si="41"/>
        <v/>
      </c>
      <c r="N1143" s="19" t="s">
        <v>363</v>
      </c>
    </row>
    <row r="1144" spans="13:14" x14ac:dyDescent="0.25">
      <c r="M1144" s="19" t="str">
        <f t="shared" si="41"/>
        <v/>
      </c>
      <c r="N1144" s="19" t="s">
        <v>363</v>
      </c>
    </row>
    <row r="1145" spans="13:14" x14ac:dyDescent="0.25">
      <c r="M1145" s="19" t="str">
        <f t="shared" si="41"/>
        <v/>
      </c>
      <c r="N1145" s="19" t="s">
        <v>363</v>
      </c>
    </row>
    <row r="1146" spans="13:14" x14ac:dyDescent="0.25">
      <c r="M1146" s="19" t="str">
        <f t="shared" si="41"/>
        <v/>
      </c>
      <c r="N1146" s="19" t="s">
        <v>363</v>
      </c>
    </row>
    <row r="1147" spans="13:14" x14ac:dyDescent="0.25">
      <c r="M1147" s="19" t="str">
        <f t="shared" si="41"/>
        <v/>
      </c>
      <c r="N1147" s="19" t="s">
        <v>363</v>
      </c>
    </row>
    <row r="1148" spans="13:14" x14ac:dyDescent="0.25">
      <c r="M1148" s="19" t="str">
        <f t="shared" si="41"/>
        <v/>
      </c>
      <c r="N1148" s="19" t="s">
        <v>363</v>
      </c>
    </row>
    <row r="1149" spans="13:14" x14ac:dyDescent="0.25">
      <c r="M1149" s="19" t="str">
        <f t="shared" si="41"/>
        <v/>
      </c>
      <c r="N1149" s="19" t="s">
        <v>363</v>
      </c>
    </row>
    <row r="1150" spans="13:14" x14ac:dyDescent="0.25">
      <c r="M1150" s="19" t="str">
        <f t="shared" si="41"/>
        <v/>
      </c>
      <c r="N1150" s="19" t="s">
        <v>363</v>
      </c>
    </row>
    <row r="1151" spans="13:14" x14ac:dyDescent="0.25">
      <c r="M1151" s="19" t="str">
        <f t="shared" si="41"/>
        <v/>
      </c>
      <c r="N1151" s="19" t="s">
        <v>363</v>
      </c>
    </row>
    <row r="1152" spans="13:14" x14ac:dyDescent="0.25">
      <c r="M1152" s="19" t="str">
        <f t="shared" si="41"/>
        <v/>
      </c>
      <c r="N1152" s="19" t="s">
        <v>363</v>
      </c>
    </row>
    <row r="1153" spans="13:14" x14ac:dyDescent="0.25">
      <c r="M1153" s="19" t="str">
        <f t="shared" si="41"/>
        <v/>
      </c>
      <c r="N1153" s="19" t="s">
        <v>363</v>
      </c>
    </row>
    <row r="1154" spans="13:14" x14ac:dyDescent="0.25">
      <c r="M1154" s="19" t="str">
        <f t="shared" ref="M1154:M1155" si="42">IF(A1154="","",IF(L1154&lt;8,"calibracion","validacion"))</f>
        <v/>
      </c>
      <c r="N1154" s="19" t="s">
        <v>363</v>
      </c>
    </row>
    <row r="1155" spans="13:14" x14ac:dyDescent="0.25">
      <c r="M1155" s="19" t="str">
        <f t="shared" si="42"/>
        <v/>
      </c>
      <c r="N1155" s="19" t="s">
        <v>363</v>
      </c>
    </row>
  </sheetData>
  <autoFilter ref="N1:N1155">
    <filterColumn colId="0">
      <customFilters>
        <customFilter operator="notEqual" val="blanks"/>
      </customFilters>
    </filterColumn>
  </autoFilter>
  <sortState ref="A2:I160">
    <sortCondition ref="E2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Bin Info</vt:lpstr>
      <vt:lpstr>Histogram</vt:lpstr>
      <vt:lpstr>Validation Data</vt:lpstr>
      <vt:lpstr>Calibration Data</vt:lpstr>
      <vt:lpstr>Calibration Set</vt:lpstr>
      <vt:lpstr>Raw Data</vt:lpstr>
    </vt:vector>
  </TitlesOfParts>
  <Company>ExxonMobil or an Affiliate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Torres, Ariel R /C</dc:creator>
  <cp:lastModifiedBy>Torres, Ariel R /C</cp:lastModifiedBy>
  <dcterms:created xsi:type="dcterms:W3CDTF">2017-05-17T23:37:52Z</dcterms:created>
  <dcterms:modified xsi:type="dcterms:W3CDTF">2017-05-17T23:44:40Z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400000695</vt:i4>
  </property>
  <property fmtid="{D5CDD505-2E9C-101B-9397-08002B2CF9AE}" pid="3" name="_NewReviewCycle">
    <vt:lpwstr/>
  </property>
  <property fmtid="{D5CDD505-2E9C-101B-9397-08002B2CF9AE}" pid="4" name="_EmailSubject">
    <vt:lpwstr>Modelos</vt:lpwstr>
  </property>
  <property fmtid="{D5CDD505-2E9C-101B-9397-08002B2CF9AE}" pid="5" name="_AuthorEmail">
    <vt:lpwstr>ariel.r.torres@exxonmobil.com</vt:lpwstr>
  </property>
  <property fmtid="{D5CDD505-2E9C-101B-9397-08002B2CF9AE}" pid="6" name="_AuthorEmailDisplayName">
    <vt:lpwstr>Torres, Ariel R /C</vt:lpwstr>
  </property>
</Properties>
</file>